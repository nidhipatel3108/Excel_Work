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SDC23\Downloads\"/>
    </mc:Choice>
  </mc:AlternateContent>
  <xr:revisionPtr revIDLastSave="0" documentId="8_{950057C7-3B3E-4E58-9535-92665B6B6201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Questions" sheetId="5" r:id="rId1"/>
    <sheet name="Instructions" sheetId="1" r:id="rId2"/>
    <sheet name="Sales_Data" sheetId="2" r:id="rId3"/>
    <sheet name="Product_Master" sheetId="3" r:id="rId4"/>
    <sheet name="Student_Marks" sheetId="4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67" i="6" l="1"/>
  <c r="N67" i="6"/>
  <c r="I72" i="6"/>
  <c r="J71" i="6"/>
  <c r="L71" i="6" s="1"/>
  <c r="I71" i="6"/>
  <c r="I70" i="6"/>
  <c r="I69" i="6"/>
  <c r="J68" i="6"/>
  <c r="L68" i="6" s="1"/>
  <c r="I68" i="6"/>
  <c r="I67" i="6"/>
  <c r="L57" i="6" a="1"/>
  <c r="L57" i="6" s="1"/>
  <c r="J62" i="6"/>
  <c r="I62" i="6"/>
  <c r="I61" i="6"/>
  <c r="J61" i="6" s="1"/>
  <c r="I60" i="6"/>
  <c r="J60" i="6" s="1"/>
  <c r="I59" i="6"/>
  <c r="J59" i="6" s="1"/>
  <c r="J58" i="6"/>
  <c r="I58" i="6"/>
  <c r="I57" i="6"/>
  <c r="J57" i="6" s="1"/>
  <c r="A43" i="6"/>
  <c r="A36" i="6"/>
  <c r="A37" i="6"/>
  <c r="A38" i="6"/>
  <c r="A39" i="6"/>
  <c r="A40" i="6"/>
  <c r="A35" i="6"/>
  <c r="L28" i="6"/>
  <c r="L29" i="6"/>
  <c r="L30" i="6"/>
  <c r="L31" i="6"/>
  <c r="L32" i="6"/>
  <c r="L27" i="6"/>
  <c r="J32" i="6"/>
  <c r="I32" i="6"/>
  <c r="J31" i="6"/>
  <c r="I31" i="6"/>
  <c r="J30" i="6"/>
  <c r="I30" i="6"/>
  <c r="J29" i="6"/>
  <c r="I29" i="6"/>
  <c r="J28" i="6"/>
  <c r="I28" i="6"/>
  <c r="J27" i="6"/>
  <c r="I27" i="6"/>
  <c r="J18" i="6"/>
  <c r="J19" i="6"/>
  <c r="J20" i="6"/>
  <c r="J21" i="6"/>
  <c r="J22" i="6"/>
  <c r="J17" i="6"/>
  <c r="I18" i="6"/>
  <c r="I19" i="6"/>
  <c r="I20" i="6"/>
  <c r="I21" i="6"/>
  <c r="I22" i="6"/>
  <c r="I17" i="6"/>
  <c r="H3" i="6"/>
  <c r="H4" i="6"/>
  <c r="H5" i="6"/>
  <c r="H6" i="6"/>
  <c r="H7" i="6"/>
  <c r="H2" i="6"/>
  <c r="J32" i="5"/>
  <c r="J69" i="6" l="1"/>
  <c r="L69" i="6" s="1"/>
  <c r="J72" i="6"/>
  <c r="L72" i="6" s="1"/>
  <c r="J67" i="6"/>
  <c r="L67" i="6" s="1"/>
  <c r="J70" i="6"/>
  <c r="L70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<sst xmlns="http://schemas.openxmlformats.org/spreadsheetml/2006/main" count="279" uniqueCount="83">
  <si>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</si>
  <si>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</si>
  <si>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</si>
  <si>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</si>
  <si>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</si>
  <si>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</si>
  <si>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</si>
  <si>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</si>
  <si>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</si>
  <si>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</si>
  <si>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</si>
  <si>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</si>
  <si>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</si>
  <si>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</si>
  <si>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</si>
  <si>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</si>
  <si>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</si>
  <si>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</si>
  <si>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</si>
  <si>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</si>
  <si>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</si>
  <si>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</si>
  <si>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</si>
  <si>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</si>
  <si>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</si>
  <si>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</si>
  <si>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</si>
  <si>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</si>
  <si>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</si>
  <si>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</si>
  <si>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</si>
  <si>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</si>
  <si>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</si>
  <si>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</si>
  <si>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</si>
  <si>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</si>
  <si>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</si>
  <si>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</si>
  <si>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</si>
  <si>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</si>
  <si>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</si>
  <si>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</si>
  <si>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</si>
  <si>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</si>
  <si>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</si>
  <si>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</si>
  <si>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</si>
  <si>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</si>
  <si>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</si>
  <si>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</si>
  <si>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</si>
  <si>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</si>
  <si>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</si>
  <si>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</si>
  <si>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</si>
  <si>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</si>
  <si>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</si>
  <si>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</si>
  <si>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</si>
  <si>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</si>
  <si>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</si>
  <si>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</si>
  <si>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</si>
  <si>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</si>
  <si>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</si>
  <si>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</si>
  <si>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</si>
  <si>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</si>
  <si>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</si>
  <si>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</si>
  <si>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</si>
  <si>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</si>
  <si>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</si>
  <si>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total</t>
  </si>
  <si>
    <t>Gst</t>
  </si>
  <si>
    <t>total sales</t>
  </si>
  <si>
    <t>Total amount gst</t>
  </si>
  <si>
    <t>Find Final Amount payable (Total Sales + GST).</t>
  </si>
  <si>
    <t>payable amount</t>
  </si>
  <si>
    <t>Classification</t>
  </si>
  <si>
    <t>Quanitiy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</si>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</sst>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workbookViewId="0">
      <selection activeCell="A8" sqref="A8:E8"/>
    </sheetView>
  </sheetViews>
  <sheetFormatPr defaultRowHeight="15" x14ac:dyDescent="0.25"/>
  <sheetData>
    <row r="1" spans="1:10" x14ac:dyDescent="0.25">
      <c r="A1" t="s">
        <v>42</v>
      </c>
      <c r="J1">
        <v>2</v>
      </c>
    </row>
    <row r="2" spans="1:10" x14ac:dyDescent="0.25">
      <c r="A2" t="s">
        <v>43</v>
      </c>
      <c r="J2">
        <v>2</v>
      </c>
    </row>
    <row r="3" spans="1:10" x14ac:dyDescent="0.25">
      <c r="A3" t="s">
        <v>44</v>
      </c>
      <c r="J3">
        <v>2</v>
      </c>
    </row>
    <row r="4" spans="1:10" x14ac:dyDescent="0.25">
      <c r="A4" t="s">
        <v>45</v>
      </c>
      <c r="J4">
        <v>2</v>
      </c>
    </row>
    <row r="5" spans="1:10" x14ac:dyDescent="0.25">
      <c r="A5" t="s">
        <v>46</v>
      </c>
      <c r="J5">
        <v>2</v>
      </c>
    </row>
    <row r="6" spans="1:10" x14ac:dyDescent="0.25">
      <c r="A6" t="s">
        <v>47</v>
      </c>
      <c r="J6">
        <v>2</v>
      </c>
    </row>
    <row r="7" spans="1:10" x14ac:dyDescent="0.25">
      <c r="A7" t="s">
        <v>48</v>
      </c>
      <c r="J7">
        <v>2</v>
      </c>
    </row>
    <row r="8" spans="1:10" x14ac:dyDescent="0.25">
      <c r="A8" t="s">
        <v>49</v>
      </c>
      <c r="J8">
        <v>2</v>
      </c>
    </row>
    <row r="9" spans="1:10" x14ac:dyDescent="0.25">
      <c r="A9" t="s">
        <v>50</v>
      </c>
      <c r="J9">
        <v>2</v>
      </c>
    </row>
    <row r="10" spans="1:10" x14ac:dyDescent="0.25">
      <c r="A10" t="s">
        <v>51</v>
      </c>
      <c r="J10">
        <v>2</v>
      </c>
    </row>
    <row r="11" spans="1:10" x14ac:dyDescent="0.25">
      <c r="A11" t="s">
        <v>52</v>
      </c>
      <c r="J11">
        <v>2</v>
      </c>
    </row>
    <row r="12" spans="1:10" x14ac:dyDescent="0.25">
      <c r="A12" t="s">
        <v>53</v>
      </c>
      <c r="J12">
        <v>2</v>
      </c>
    </row>
    <row r="13" spans="1:10" x14ac:dyDescent="0.25">
      <c r="A13" t="s">
        <v>54</v>
      </c>
      <c r="J13">
        <v>2</v>
      </c>
    </row>
    <row r="14" spans="1:10" x14ac:dyDescent="0.25">
      <c r="A14" t="s">
        <v>55</v>
      </c>
      <c r="J14">
        <v>2</v>
      </c>
    </row>
    <row r="15" spans="1:10" x14ac:dyDescent="0.25">
      <c r="A15" t="s">
        <v>56</v>
      </c>
      <c r="J15">
        <v>2</v>
      </c>
    </row>
    <row r="16" spans="1:10" x14ac:dyDescent="0.25">
      <c r="A16" t="s">
        <v>57</v>
      </c>
      <c r="J16">
        <v>2</v>
      </c>
    </row>
    <row r="17" spans="1:10" x14ac:dyDescent="0.25">
      <c r="A17" t="s">
        <v>58</v>
      </c>
      <c r="J17">
        <v>2</v>
      </c>
    </row>
    <row r="18" spans="1:10" x14ac:dyDescent="0.25">
      <c r="A18" t="s">
        <v>59</v>
      </c>
      <c r="J18">
        <v>2</v>
      </c>
    </row>
    <row r="19" spans="1:10" x14ac:dyDescent="0.25">
      <c r="A19" t="s">
        <v>60</v>
      </c>
      <c r="J19">
        <v>2</v>
      </c>
    </row>
    <row r="20" spans="1:10" x14ac:dyDescent="0.25">
      <c r="A20" t="s">
        <v>61</v>
      </c>
      <c r="J20">
        <v>2</v>
      </c>
    </row>
    <row r="21" spans="1:10" x14ac:dyDescent="0.25">
      <c r="A21" t="s">
        <v>62</v>
      </c>
      <c r="J21">
        <v>2</v>
      </c>
    </row>
    <row r="22" spans="1:10" x14ac:dyDescent="0.25">
      <c r="A22" t="s">
        <v>63</v>
      </c>
      <c r="J22">
        <v>2</v>
      </c>
    </row>
    <row r="23" spans="1:10" x14ac:dyDescent="0.25">
      <c r="A23" t="s">
        <v>64</v>
      </c>
      <c r="J23">
        <v>2</v>
      </c>
    </row>
    <row r="24" spans="1:10" x14ac:dyDescent="0.25">
      <c r="A24" t="s">
        <v>65</v>
      </c>
      <c r="J24">
        <v>2</v>
      </c>
    </row>
    <row r="25" spans="1:10" x14ac:dyDescent="0.25">
      <c r="A25" t="s">
        <v>66</v>
      </c>
      <c r="J25">
        <v>2</v>
      </c>
    </row>
    <row r="26" spans="1:10" x14ac:dyDescent="0.25">
      <c r="A26" t="s">
        <v>67</v>
      </c>
      <c r="J26">
        <v>2</v>
      </c>
    </row>
    <row r="27" spans="1:10" x14ac:dyDescent="0.25">
      <c r="A27" t="s">
        <v>68</v>
      </c>
      <c r="J27">
        <v>2</v>
      </c>
    </row>
    <row r="28" spans="1:10" x14ac:dyDescent="0.25">
      <c r="A28" t="s">
        <v>69</v>
      </c>
      <c r="J28">
        <v>2</v>
      </c>
    </row>
    <row r="29" spans="1:10" x14ac:dyDescent="0.25">
      <c r="A29" t="s">
        <v>70</v>
      </c>
      <c r="J29">
        <v>2</v>
      </c>
    </row>
    <row r="30" spans="1:10" x14ac:dyDescent="0.25">
      <c r="A30" t="s">
        <v>71</v>
      </c>
      <c r="J30">
        <v>2</v>
      </c>
    </row>
    <row r="32" spans="1:10" x14ac:dyDescent="0.25">
      <c r="J32">
        <f>SUM(J1:J30)</f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5" x14ac:dyDescent="0.25"/>
  <sheetData>
    <row r="1" spans="1:1" x14ac:dyDescent="0.25">
      <c r="A1" t="s">
        <v>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sqref="A1:H7"/>
    </sheetView>
  </sheetViews>
  <sheetFormatPr defaultRowHeight="15" x14ac:dyDescent="0.25"/>
  <cols>
    <col min="6" max="6" width="11.42578125" customWidth="1"/>
  </cols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</row>
    <row r="3" spans="1:7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</row>
    <row r="4" spans="1:7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</row>
    <row r="5" spans="1:7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</row>
    <row r="6" spans="1:7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</row>
    <row r="7" spans="1:7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D22" sqref="D22"/>
    </sheetView>
  </sheetViews>
  <sheetFormatPr defaultRowHeight="15" x14ac:dyDescent="0.25"/>
  <sheetData>
    <row r="1" spans="1:3" x14ac:dyDescent="0.25">
      <c r="A1" t="s">
        <v>7</v>
      </c>
      <c r="B1" t="s">
        <v>28</v>
      </c>
      <c r="C1" t="s">
        <v>29</v>
      </c>
    </row>
    <row r="2" spans="1:3" x14ac:dyDescent="0.25">
      <c r="A2" t="s">
        <v>13</v>
      </c>
      <c r="B2" t="s">
        <v>30</v>
      </c>
      <c r="C2">
        <v>18</v>
      </c>
    </row>
    <row r="3" spans="1:3" x14ac:dyDescent="0.25">
      <c r="A3" t="s">
        <v>17</v>
      </c>
      <c r="B3" t="s">
        <v>30</v>
      </c>
      <c r="C3">
        <v>12</v>
      </c>
    </row>
    <row r="4" spans="1:3" x14ac:dyDescent="0.25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J8" sqref="J8"/>
    </sheetView>
  </sheetViews>
  <sheetFormatPr defaultRowHeight="15" x14ac:dyDescent="0.2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2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2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2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2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B6EF-FFBF-4679-A9C8-55F557B0F09B}">
  <dimension ref="A1:O72"/>
  <sheetViews>
    <sheetView tabSelected="1" topLeftCell="A58" workbookViewId="0">
      <selection activeCell="P70" sqref="P70"/>
    </sheetView>
  </sheetViews>
  <sheetFormatPr defaultRowHeight="15" x14ac:dyDescent="0.25"/>
  <cols>
    <col min="6" max="6" width="14" customWidth="1"/>
    <col min="7" max="7" width="10.5703125" customWidth="1"/>
  </cols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73</v>
      </c>
    </row>
    <row r="2" spans="1:10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  <c r="H2">
        <f>E2*F2</f>
        <v>90000</v>
      </c>
    </row>
    <row r="3" spans="1:10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  <c r="H3">
        <f t="shared" ref="H3:H7" si="0">E3*F3</f>
        <v>75000</v>
      </c>
    </row>
    <row r="4" spans="1:10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  <c r="H4">
        <f t="shared" si="0"/>
        <v>54000</v>
      </c>
    </row>
    <row r="5" spans="1:10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  <c r="H5">
        <f t="shared" si="0"/>
        <v>45000</v>
      </c>
    </row>
    <row r="6" spans="1:10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  <c r="H6">
        <f t="shared" si="0"/>
        <v>60000</v>
      </c>
    </row>
    <row r="7" spans="1:10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  <c r="H7">
        <f t="shared" si="0"/>
        <v>90000</v>
      </c>
    </row>
    <row r="9" spans="1:10" x14ac:dyDescent="0.25">
      <c r="A9" t="s">
        <v>43</v>
      </c>
    </row>
    <row r="11" spans="1:10" x14ac:dyDescent="0.25">
      <c r="A11" t="s">
        <v>7</v>
      </c>
      <c r="B11" t="s">
        <v>28</v>
      </c>
      <c r="C11" t="s">
        <v>29</v>
      </c>
      <c r="D11" t="s">
        <v>74</v>
      </c>
    </row>
    <row r="12" spans="1:10" x14ac:dyDescent="0.25">
      <c r="A12" t="s">
        <v>13</v>
      </c>
      <c r="B12" t="s">
        <v>30</v>
      </c>
      <c r="C12">
        <v>18</v>
      </c>
      <c r="E12" t="s">
        <v>13</v>
      </c>
      <c r="F12">
        <v>0.18</v>
      </c>
    </row>
    <row r="13" spans="1:10" x14ac:dyDescent="0.25">
      <c r="A13" t="s">
        <v>17</v>
      </c>
      <c r="B13" t="s">
        <v>30</v>
      </c>
      <c r="C13">
        <v>12</v>
      </c>
      <c r="E13" t="s">
        <v>17</v>
      </c>
      <c r="F13">
        <v>0.12</v>
      </c>
    </row>
    <row r="14" spans="1:10" x14ac:dyDescent="0.25">
      <c r="A14" t="s">
        <v>21</v>
      </c>
      <c r="B14" t="s">
        <v>30</v>
      </c>
      <c r="C14">
        <v>12</v>
      </c>
      <c r="E14" t="s">
        <v>21</v>
      </c>
      <c r="F14">
        <v>0.12</v>
      </c>
    </row>
    <row r="16" spans="1:10" x14ac:dyDescent="0.25">
      <c r="A16" t="s">
        <v>4</v>
      </c>
      <c r="B16" t="s">
        <v>5</v>
      </c>
      <c r="C16" t="s">
        <v>6</v>
      </c>
      <c r="D16" t="s">
        <v>7</v>
      </c>
      <c r="E16" t="s">
        <v>8</v>
      </c>
      <c r="F16" t="s">
        <v>9</v>
      </c>
      <c r="G16" t="s">
        <v>10</v>
      </c>
      <c r="H16" t="s">
        <v>29</v>
      </c>
      <c r="I16" t="s">
        <v>75</v>
      </c>
      <c r="J16" t="s">
        <v>76</v>
      </c>
    </row>
    <row r="17" spans="1:12" x14ac:dyDescent="0.25">
      <c r="A17">
        <v>301</v>
      </c>
      <c r="B17" t="s">
        <v>11</v>
      </c>
      <c r="C17" t="s">
        <v>12</v>
      </c>
      <c r="D17" t="s">
        <v>13</v>
      </c>
      <c r="E17">
        <v>2</v>
      </c>
      <c r="F17">
        <v>45000</v>
      </c>
      <c r="G17" t="s">
        <v>14</v>
      </c>
      <c r="H17">
        <v>18</v>
      </c>
      <c r="I17">
        <f>F17*E17</f>
        <v>90000</v>
      </c>
      <c r="J17">
        <f>I17*VLOOKUP(D17,$E$12:$E$14:$F$12:$F$14,2,FALSE)</f>
        <v>16200</v>
      </c>
    </row>
    <row r="18" spans="1:12" x14ac:dyDescent="0.25">
      <c r="A18">
        <v>302</v>
      </c>
      <c r="B18" t="s">
        <v>15</v>
      </c>
      <c r="C18" t="s">
        <v>16</v>
      </c>
      <c r="D18" t="s">
        <v>17</v>
      </c>
      <c r="E18">
        <v>5</v>
      </c>
      <c r="F18">
        <v>15000</v>
      </c>
      <c r="G18" t="s">
        <v>18</v>
      </c>
      <c r="H18">
        <v>12</v>
      </c>
      <c r="I18">
        <f t="shared" ref="I18:I22" si="1">F18*E18</f>
        <v>75000</v>
      </c>
      <c r="J18">
        <f>I18*VLOOKUP(D18,$E$12:$E$14:$F$12:$F$14,2,FALSE)</f>
        <v>9000</v>
      </c>
    </row>
    <row r="19" spans="1:12" x14ac:dyDescent="0.25">
      <c r="A19">
        <v>303</v>
      </c>
      <c r="B19" t="s">
        <v>19</v>
      </c>
      <c r="C19" t="s">
        <v>20</v>
      </c>
      <c r="D19" t="s">
        <v>21</v>
      </c>
      <c r="E19">
        <v>3</v>
      </c>
      <c r="F19">
        <v>18000</v>
      </c>
      <c r="G19" t="s">
        <v>22</v>
      </c>
      <c r="H19">
        <v>12</v>
      </c>
      <c r="I19">
        <f t="shared" si="1"/>
        <v>54000</v>
      </c>
      <c r="J19">
        <f>I19*VLOOKUP(D19,$E$12:$E$14:$F$12:$F$14,2,FALSE)</f>
        <v>6480</v>
      </c>
    </row>
    <row r="20" spans="1:12" x14ac:dyDescent="0.25">
      <c r="A20">
        <v>304</v>
      </c>
      <c r="B20" t="s">
        <v>23</v>
      </c>
      <c r="C20" t="s">
        <v>24</v>
      </c>
      <c r="D20" t="s">
        <v>13</v>
      </c>
      <c r="E20">
        <v>1</v>
      </c>
      <c r="F20">
        <v>45000</v>
      </c>
      <c r="G20" t="s">
        <v>25</v>
      </c>
      <c r="H20">
        <v>18</v>
      </c>
      <c r="I20">
        <f t="shared" si="1"/>
        <v>45000</v>
      </c>
      <c r="J20">
        <f>I20*VLOOKUP(D20,$E$12:$E$14:$F$12:$F$14,2,FALSE)</f>
        <v>8100</v>
      </c>
    </row>
    <row r="21" spans="1:12" x14ac:dyDescent="0.25">
      <c r="A21">
        <v>305</v>
      </c>
      <c r="B21" t="s">
        <v>11</v>
      </c>
      <c r="C21" t="s">
        <v>12</v>
      </c>
      <c r="D21" t="s">
        <v>17</v>
      </c>
      <c r="E21">
        <v>4</v>
      </c>
      <c r="F21">
        <v>15000</v>
      </c>
      <c r="G21" t="s">
        <v>26</v>
      </c>
      <c r="H21">
        <v>12</v>
      </c>
      <c r="I21">
        <f t="shared" si="1"/>
        <v>60000</v>
      </c>
      <c r="J21">
        <f>I21*VLOOKUP(D21,$E$12:$E$14:$F$12:$F$14,2,FALSE)</f>
        <v>7200</v>
      </c>
    </row>
    <row r="22" spans="1:12" x14ac:dyDescent="0.25">
      <c r="A22">
        <v>306</v>
      </c>
      <c r="B22" t="s">
        <v>15</v>
      </c>
      <c r="C22" t="s">
        <v>16</v>
      </c>
      <c r="D22" t="s">
        <v>13</v>
      </c>
      <c r="E22">
        <v>2</v>
      </c>
      <c r="F22">
        <v>45000</v>
      </c>
      <c r="G22" t="s">
        <v>27</v>
      </c>
      <c r="H22">
        <v>12</v>
      </c>
      <c r="I22">
        <f t="shared" si="1"/>
        <v>90000</v>
      </c>
      <c r="J22">
        <f>I22*VLOOKUP(D22,$E$12:$E$14:$F$12:$F$14,2,FALSE)</f>
        <v>16200</v>
      </c>
    </row>
    <row r="24" spans="1:12" x14ac:dyDescent="0.25">
      <c r="A24" t="s">
        <v>77</v>
      </c>
    </row>
    <row r="26" spans="1:12" x14ac:dyDescent="0.25">
      <c r="A26" t="s">
        <v>4</v>
      </c>
      <c r="B26" t="s">
        <v>4</v>
      </c>
      <c r="C26" t="s">
        <v>4</v>
      </c>
      <c r="D26" t="s">
        <v>4</v>
      </c>
      <c r="E26" t="s">
        <v>4</v>
      </c>
      <c r="F26" t="s">
        <v>9</v>
      </c>
      <c r="G26" t="s">
        <v>10</v>
      </c>
      <c r="H26" t="s">
        <v>29</v>
      </c>
      <c r="I26" t="s">
        <v>75</v>
      </c>
      <c r="J26" t="s">
        <v>76</v>
      </c>
      <c r="L26" t="s">
        <v>78</v>
      </c>
    </row>
    <row r="27" spans="1:12" x14ac:dyDescent="0.25">
      <c r="A27">
        <v>301</v>
      </c>
      <c r="B27" t="s">
        <v>11</v>
      </c>
      <c r="C27" t="s">
        <v>12</v>
      </c>
      <c r="D27" t="s">
        <v>13</v>
      </c>
      <c r="E27">
        <v>2</v>
      </c>
      <c r="F27">
        <v>45000</v>
      </c>
      <c r="G27" t="s">
        <v>14</v>
      </c>
      <c r="H27">
        <v>18</v>
      </c>
      <c r="I27">
        <f>F27*E27</f>
        <v>90000</v>
      </c>
      <c r="J27">
        <f>I27*VLOOKUP(D27,$E$12:$E$14:$F$12:$F$14,2,FALSE)</f>
        <v>16200</v>
      </c>
      <c r="L27">
        <f>I27+J27</f>
        <v>106200</v>
      </c>
    </row>
    <row r="28" spans="1:12" x14ac:dyDescent="0.25">
      <c r="A28">
        <v>302</v>
      </c>
      <c r="B28" t="s">
        <v>15</v>
      </c>
      <c r="C28" t="s">
        <v>16</v>
      </c>
      <c r="D28" t="s">
        <v>17</v>
      </c>
      <c r="E28">
        <v>5</v>
      </c>
      <c r="F28">
        <v>15000</v>
      </c>
      <c r="G28" t="s">
        <v>18</v>
      </c>
      <c r="H28">
        <v>12</v>
      </c>
      <c r="I28">
        <f t="shared" ref="I28:I32" si="2">F28*E28</f>
        <v>75000</v>
      </c>
      <c r="J28">
        <f>I28*VLOOKUP(D28,$E$12:$E$14:$F$12:$F$14,2,FALSE)</f>
        <v>9000</v>
      </c>
      <c r="L28">
        <f t="shared" ref="L28:L32" si="3">I28+J28</f>
        <v>84000</v>
      </c>
    </row>
    <row r="29" spans="1:12" x14ac:dyDescent="0.25">
      <c r="A29">
        <v>303</v>
      </c>
      <c r="B29" t="s">
        <v>19</v>
      </c>
      <c r="C29" t="s">
        <v>20</v>
      </c>
      <c r="D29" t="s">
        <v>21</v>
      </c>
      <c r="E29">
        <v>3</v>
      </c>
      <c r="F29">
        <v>18000</v>
      </c>
      <c r="G29" t="s">
        <v>22</v>
      </c>
      <c r="H29">
        <v>12</v>
      </c>
      <c r="I29">
        <f t="shared" si="2"/>
        <v>54000</v>
      </c>
      <c r="J29">
        <f>I29*VLOOKUP(D29,$E$12:$E$14:$F$12:$F$14,2,FALSE)</f>
        <v>6480</v>
      </c>
      <c r="L29">
        <f t="shared" si="3"/>
        <v>60480</v>
      </c>
    </row>
    <row r="30" spans="1:12" x14ac:dyDescent="0.25">
      <c r="A30">
        <v>304</v>
      </c>
      <c r="B30" t="s">
        <v>23</v>
      </c>
      <c r="C30" t="s">
        <v>24</v>
      </c>
      <c r="D30" t="s">
        <v>13</v>
      </c>
      <c r="E30">
        <v>1</v>
      </c>
      <c r="F30">
        <v>45000</v>
      </c>
      <c r="G30" t="s">
        <v>25</v>
      </c>
      <c r="H30">
        <v>18</v>
      </c>
      <c r="I30">
        <f t="shared" si="2"/>
        <v>45000</v>
      </c>
      <c r="J30">
        <f>I30*VLOOKUP(D30,$E$12:$E$14:$F$12:$F$14,2,FALSE)</f>
        <v>8100</v>
      </c>
      <c r="L30">
        <f t="shared" si="3"/>
        <v>53100</v>
      </c>
    </row>
    <row r="31" spans="1:12" x14ac:dyDescent="0.25">
      <c r="A31">
        <v>305</v>
      </c>
      <c r="B31" t="s">
        <v>11</v>
      </c>
      <c r="C31" t="s">
        <v>12</v>
      </c>
      <c r="D31" t="s">
        <v>17</v>
      </c>
      <c r="E31">
        <v>4</v>
      </c>
      <c r="F31">
        <v>15000</v>
      </c>
      <c r="G31" t="s">
        <v>26</v>
      </c>
      <c r="H31">
        <v>12</v>
      </c>
      <c r="I31">
        <f t="shared" si="2"/>
        <v>60000</v>
      </c>
      <c r="J31">
        <f>I31*VLOOKUP(D31,$E$12:$E$14:$F$12:$F$14,2,FALSE)</f>
        <v>7200</v>
      </c>
      <c r="L31">
        <f t="shared" si="3"/>
        <v>67200</v>
      </c>
    </row>
    <row r="32" spans="1:12" x14ac:dyDescent="0.25">
      <c r="A32">
        <v>306</v>
      </c>
      <c r="B32" t="s">
        <v>15</v>
      </c>
      <c r="C32" t="s">
        <v>16</v>
      </c>
      <c r="D32" t="s">
        <v>13</v>
      </c>
      <c r="E32">
        <v>2</v>
      </c>
      <c r="F32">
        <v>45000</v>
      </c>
      <c r="G32" t="s">
        <v>27</v>
      </c>
      <c r="H32">
        <v>12</v>
      </c>
      <c r="I32">
        <f t="shared" si="2"/>
        <v>90000</v>
      </c>
      <c r="J32">
        <f>I32*VLOOKUP(D32,$E$12:$E$14:$F$12:$F$14,2,FALSE)</f>
        <v>16200</v>
      </c>
      <c r="L32">
        <f t="shared" si="3"/>
        <v>106200</v>
      </c>
    </row>
    <row r="34" spans="1:1" x14ac:dyDescent="0.25">
      <c r="A34" t="s">
        <v>45</v>
      </c>
    </row>
    <row r="35" spans="1:1" x14ac:dyDescent="0.25">
      <c r="A35">
        <f>SUM(L27:L32)</f>
        <v>477180</v>
      </c>
    </row>
    <row r="36" spans="1:1" x14ac:dyDescent="0.25">
      <c r="A36">
        <f t="shared" ref="A36:A40" si="4">SUM(L28:L33)</f>
        <v>370980</v>
      </c>
    </row>
    <row r="37" spans="1:1" x14ac:dyDescent="0.25">
      <c r="A37">
        <f t="shared" si="4"/>
        <v>286980</v>
      </c>
    </row>
    <row r="38" spans="1:1" x14ac:dyDescent="0.25">
      <c r="A38">
        <f t="shared" si="4"/>
        <v>226500</v>
      </c>
    </row>
    <row r="39" spans="1:1" x14ac:dyDescent="0.25">
      <c r="A39">
        <f t="shared" si="4"/>
        <v>173400</v>
      </c>
    </row>
    <row r="40" spans="1:1" x14ac:dyDescent="0.25">
      <c r="A40">
        <f t="shared" si="4"/>
        <v>106200</v>
      </c>
    </row>
    <row r="42" spans="1:1" x14ac:dyDescent="0.25">
      <c r="A42" t="s">
        <v>46</v>
      </c>
    </row>
    <row r="43" spans="1:1" x14ac:dyDescent="0.25">
      <c r="A43">
        <f>COUNT(E27:E32)</f>
        <v>6</v>
      </c>
    </row>
    <row r="45" spans="1:1" x14ac:dyDescent="0.25">
      <c r="A45" t="s">
        <v>47</v>
      </c>
    </row>
    <row r="54" spans="1:12" x14ac:dyDescent="0.25">
      <c r="A54" t="s">
        <v>48</v>
      </c>
    </row>
    <row r="56" spans="1:12" x14ac:dyDescent="0.25">
      <c r="A56" t="s">
        <v>4</v>
      </c>
      <c r="B56" t="s">
        <v>5</v>
      </c>
      <c r="C56" t="s">
        <v>6</v>
      </c>
      <c r="D56" t="s">
        <v>7</v>
      </c>
      <c r="E56" t="s">
        <v>8</v>
      </c>
      <c r="F56" t="s">
        <v>9</v>
      </c>
      <c r="G56" t="s">
        <v>10</v>
      </c>
      <c r="H56" t="s">
        <v>29</v>
      </c>
      <c r="I56" t="s">
        <v>75</v>
      </c>
      <c r="J56" t="s">
        <v>76</v>
      </c>
      <c r="L56" t="s">
        <v>79</v>
      </c>
    </row>
    <row r="57" spans="1:12" x14ac:dyDescent="0.25">
      <c r="A57">
        <v>301</v>
      </c>
      <c r="B57" t="s">
        <v>11</v>
      </c>
      <c r="C57" t="s">
        <v>12</v>
      </c>
      <c r="D57" t="s">
        <v>13</v>
      </c>
      <c r="E57">
        <v>2</v>
      </c>
      <c r="F57">
        <v>45000</v>
      </c>
      <c r="G57" t="s">
        <v>14</v>
      </c>
      <c r="H57">
        <v>18</v>
      </c>
      <c r="I57">
        <f>F57*E57</f>
        <v>90000</v>
      </c>
      <c r="J57">
        <f>I57*VLOOKUP(D57,$E$12:$E$14:$F$12:$F$14,2,FALSE)</f>
        <v>16200</v>
      </c>
      <c r="L57" t="str" cm="1">
        <f t="array" ref="L57:L62">IF(E57:E62&gt;3,"high","low")</f>
        <v>low</v>
      </c>
    </row>
    <row r="58" spans="1:12" x14ac:dyDescent="0.25">
      <c r="A58">
        <v>302</v>
      </c>
      <c r="B58" t="s">
        <v>15</v>
      </c>
      <c r="C58" t="s">
        <v>16</v>
      </c>
      <c r="D58" t="s">
        <v>17</v>
      </c>
      <c r="E58">
        <v>5</v>
      </c>
      <c r="F58">
        <v>15000</v>
      </c>
      <c r="G58" t="s">
        <v>18</v>
      </c>
      <c r="H58">
        <v>12</v>
      </c>
      <c r="I58">
        <f t="shared" ref="I58:I62" si="5">F58*E58</f>
        <v>75000</v>
      </c>
      <c r="J58">
        <f>I58*VLOOKUP(D58,$E$12:$E$14:$F$12:$F$14,2,FALSE)</f>
        <v>9000</v>
      </c>
      <c r="L58" t="str">
        <v>high</v>
      </c>
    </row>
    <row r="59" spans="1:12" x14ac:dyDescent="0.25">
      <c r="A59">
        <v>303</v>
      </c>
      <c r="B59" t="s">
        <v>19</v>
      </c>
      <c r="C59" t="s">
        <v>20</v>
      </c>
      <c r="D59" t="s">
        <v>21</v>
      </c>
      <c r="E59">
        <v>3</v>
      </c>
      <c r="F59">
        <v>18000</v>
      </c>
      <c r="G59" t="s">
        <v>22</v>
      </c>
      <c r="H59">
        <v>12</v>
      </c>
      <c r="I59">
        <f t="shared" si="5"/>
        <v>54000</v>
      </c>
      <c r="J59">
        <f>I59*VLOOKUP(D59,$E$12:$E$14:$F$12:$F$14,2,FALSE)</f>
        <v>6480</v>
      </c>
      <c r="L59" t="str">
        <v>low</v>
      </c>
    </row>
    <row r="60" spans="1:12" x14ac:dyDescent="0.25">
      <c r="A60">
        <v>304</v>
      </c>
      <c r="B60" t="s">
        <v>23</v>
      </c>
      <c r="C60" t="s">
        <v>24</v>
      </c>
      <c r="D60" t="s">
        <v>13</v>
      </c>
      <c r="E60">
        <v>1</v>
      </c>
      <c r="F60">
        <v>45000</v>
      </c>
      <c r="G60" t="s">
        <v>25</v>
      </c>
      <c r="H60">
        <v>18</v>
      </c>
      <c r="I60">
        <f t="shared" si="5"/>
        <v>45000</v>
      </c>
      <c r="J60">
        <f>I60*VLOOKUP(D60,$E$12:$E$14:$F$12:$F$14,2,FALSE)</f>
        <v>8100</v>
      </c>
      <c r="L60" t="str">
        <v>low</v>
      </c>
    </row>
    <row r="61" spans="1:12" x14ac:dyDescent="0.25">
      <c r="A61">
        <v>305</v>
      </c>
      <c r="B61" t="s">
        <v>11</v>
      </c>
      <c r="C61" t="s">
        <v>12</v>
      </c>
      <c r="D61" t="s">
        <v>17</v>
      </c>
      <c r="E61">
        <v>4</v>
      </c>
      <c r="F61">
        <v>15000</v>
      </c>
      <c r="G61" t="s">
        <v>26</v>
      </c>
      <c r="H61">
        <v>12</v>
      </c>
      <c r="I61">
        <f t="shared" si="5"/>
        <v>60000</v>
      </c>
      <c r="J61">
        <f>I61*VLOOKUP(D61,$E$12:$E$14:$F$12:$F$14,2,FALSE)</f>
        <v>7200</v>
      </c>
      <c r="L61" t="str">
        <v>high</v>
      </c>
    </row>
    <row r="62" spans="1:12" x14ac:dyDescent="0.25">
      <c r="A62">
        <v>306</v>
      </c>
      <c r="B62" t="s">
        <v>15</v>
      </c>
      <c r="C62" t="s">
        <v>16</v>
      </c>
      <c r="D62" t="s">
        <v>13</v>
      </c>
      <c r="E62">
        <v>2</v>
      </c>
      <c r="F62">
        <v>45000</v>
      </c>
      <c r="G62" t="s">
        <v>27</v>
      </c>
      <c r="H62">
        <v>12</v>
      </c>
      <c r="I62">
        <f t="shared" si="5"/>
        <v>90000</v>
      </c>
      <c r="J62">
        <f>I62*VLOOKUP(D62,$E$12:$E$14:$F$12:$F$14,2,FALSE)</f>
        <v>16200</v>
      </c>
      <c r="L62" t="str">
        <v>low</v>
      </c>
    </row>
    <row r="64" spans="1:12" x14ac:dyDescent="0.25">
      <c r="A64" t="s">
        <v>49</v>
      </c>
    </row>
    <row r="66" spans="1:15" x14ac:dyDescent="0.25">
      <c r="A66" t="s">
        <v>4</v>
      </c>
      <c r="B66" t="s">
        <v>5</v>
      </c>
      <c r="C66" t="s">
        <v>6</v>
      </c>
      <c r="D66" t="s">
        <v>7</v>
      </c>
      <c r="E66" t="s">
        <v>80</v>
      </c>
      <c r="F66" t="s">
        <v>9</v>
      </c>
      <c r="G66" t="s">
        <v>10</v>
      </c>
      <c r="H66" t="s">
        <v>29</v>
      </c>
      <c r="I66" t="s">
        <v>75</v>
      </c>
      <c r="J66" t="s">
        <v>76</v>
      </c>
      <c r="L66" t="s">
        <v>78</v>
      </c>
      <c r="N66" t="s">
        <v>81</v>
      </c>
      <c r="O66" t="s">
        <v>82</v>
      </c>
    </row>
    <row r="67" spans="1:15" x14ac:dyDescent="0.25">
      <c r="A67">
        <v>301</v>
      </c>
      <c r="B67" t="s">
        <v>11</v>
      </c>
      <c r="C67" t="s">
        <v>12</v>
      </c>
      <c r="D67" t="s">
        <v>13</v>
      </c>
      <c r="E67">
        <v>2</v>
      </c>
      <c r="F67">
        <v>45000</v>
      </c>
      <c r="G67" t="s">
        <v>14</v>
      </c>
      <c r="H67">
        <v>18</v>
      </c>
      <c r="I67">
        <f>F67*E67</f>
        <v>90000</v>
      </c>
      <c r="J67">
        <f>I67*VLOOKUP(D67,$E$12:$E$14:$F$12:$F$14,2,FALSE)</f>
        <v>16200</v>
      </c>
      <c r="L67">
        <f>I67+J67</f>
        <v>106200</v>
      </c>
      <c r="N67">
        <f>MAX(L67:L72)</f>
        <v>106200</v>
      </c>
      <c r="O67">
        <f>MIN(L7:L67)</f>
        <v>53100</v>
      </c>
    </row>
    <row r="68" spans="1:15" x14ac:dyDescent="0.25">
      <c r="A68">
        <v>302</v>
      </c>
      <c r="B68" t="s">
        <v>15</v>
      </c>
      <c r="C68" t="s">
        <v>16</v>
      </c>
      <c r="D68" t="s">
        <v>17</v>
      </c>
      <c r="E68">
        <v>5</v>
      </c>
      <c r="F68">
        <v>15000</v>
      </c>
      <c r="G68" t="s">
        <v>18</v>
      </c>
      <c r="H68">
        <v>12</v>
      </c>
      <c r="I68">
        <f t="shared" ref="I68:I72" si="6">F68*E68</f>
        <v>75000</v>
      </c>
      <c r="J68">
        <f>I68*VLOOKUP(D68,$E$12:$E$14:$F$12:$F$14,2,FALSE)</f>
        <v>9000</v>
      </c>
      <c r="L68">
        <f t="shared" ref="L68:L72" si="7">I68+J68</f>
        <v>84000</v>
      </c>
    </row>
    <row r="69" spans="1:15" x14ac:dyDescent="0.25">
      <c r="A69">
        <v>303</v>
      </c>
      <c r="B69" t="s">
        <v>19</v>
      </c>
      <c r="C69" t="s">
        <v>20</v>
      </c>
      <c r="D69" t="s">
        <v>21</v>
      </c>
      <c r="E69">
        <v>3</v>
      </c>
      <c r="F69">
        <v>18000</v>
      </c>
      <c r="G69" t="s">
        <v>22</v>
      </c>
      <c r="H69">
        <v>12</v>
      </c>
      <c r="I69">
        <f t="shared" si="6"/>
        <v>54000</v>
      </c>
      <c r="J69">
        <f>I69*VLOOKUP(D69,$E$12:$E$14:$F$12:$F$14,2,FALSE)</f>
        <v>6480</v>
      </c>
      <c r="L69">
        <f t="shared" si="7"/>
        <v>60480</v>
      </c>
    </row>
    <row r="70" spans="1:15" x14ac:dyDescent="0.25">
      <c r="A70">
        <v>304</v>
      </c>
      <c r="B70" t="s">
        <v>23</v>
      </c>
      <c r="C70" t="s">
        <v>24</v>
      </c>
      <c r="D70" t="s">
        <v>13</v>
      </c>
      <c r="E70">
        <v>1</v>
      </c>
      <c r="F70">
        <v>45000</v>
      </c>
      <c r="G70" t="s">
        <v>25</v>
      </c>
      <c r="H70">
        <v>18</v>
      </c>
      <c r="I70">
        <f t="shared" si="6"/>
        <v>45000</v>
      </c>
      <c r="J70">
        <f>I70*VLOOKUP(D70,$E$12:$E$14:$F$12:$F$14,2,FALSE)</f>
        <v>8100</v>
      </c>
      <c r="L70">
        <f t="shared" si="7"/>
        <v>53100</v>
      </c>
    </row>
    <row r="71" spans="1:15" x14ac:dyDescent="0.25">
      <c r="A71">
        <v>305</v>
      </c>
      <c r="B71" t="s">
        <v>11</v>
      </c>
      <c r="C71" t="s">
        <v>12</v>
      </c>
      <c r="D71" t="s">
        <v>17</v>
      </c>
      <c r="E71">
        <v>4</v>
      </c>
      <c r="F71">
        <v>15000</v>
      </c>
      <c r="G71" t="s">
        <v>26</v>
      </c>
      <c r="H71">
        <v>12</v>
      </c>
      <c r="I71">
        <f t="shared" si="6"/>
        <v>60000</v>
      </c>
      <c r="J71">
        <f>I71*VLOOKUP(D71,$E$12:$E$14:$F$12:$F$14,2,FALSE)</f>
        <v>7200</v>
      </c>
      <c r="L71">
        <f t="shared" si="7"/>
        <v>67200</v>
      </c>
    </row>
    <row r="72" spans="1:15" x14ac:dyDescent="0.25">
      <c r="A72">
        <v>306</v>
      </c>
      <c r="B72" t="s">
        <v>15</v>
      </c>
      <c r="C72" t="s">
        <v>16</v>
      </c>
      <c r="D72" t="s">
        <v>13</v>
      </c>
      <c r="E72">
        <v>2</v>
      </c>
      <c r="F72">
        <v>45000</v>
      </c>
      <c r="G72" t="s">
        <v>27</v>
      </c>
      <c r="H72">
        <v>12</v>
      </c>
      <c r="I72">
        <f t="shared" si="6"/>
        <v>90000</v>
      </c>
      <c r="J72">
        <f>I72*VLOOKUP(D72,$E$12:$E$14:$F$12:$F$14,2,FALSE)</f>
        <v>16200</v>
      </c>
      <c r="L72">
        <f t="shared" si="7"/>
        <v>106200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Questions</vt:lpstr>
      <vt:lpstr>Instructions</vt:lpstr>
      <vt:lpstr>Sales_Data</vt:lpstr>
      <vt:lpstr>Product_Master</vt:lpstr>
      <vt:lpstr>Student_Marks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ASDC23</cp:lastModifiedBy>
  <dcterms:created xsi:type="dcterms:W3CDTF">2025-12-20T09:26:06Z</dcterms:created>
  <dcterms:modified xsi:type="dcterms:W3CDTF">2026-07-13T07:26:28Z</dcterms:modified>
</cp:coreProperties>
</file>