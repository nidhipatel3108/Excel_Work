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ibrary1\Desktop\"/>
    </mc:Choice>
  </mc:AlternateContent>
  <xr:revisionPtr revIDLastSave="0" documentId="13_ncr:1_{E13A4945-EE9D-4CBD-9095-B1DA0569F0ED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Questions" sheetId="5" r:id="rId1"/>
    <sheet name="Instructions" sheetId="1" r:id="rId2"/>
    <sheet name="Sales_Data" sheetId="2" r:id="rId3"/>
    <sheet name="Product_Master" sheetId="3" r:id="rId4"/>
    <sheet name="Sheet1" sheetId="6" r:id="rId5"/>
    <sheet name="Student_Marks" sheetId="4" r:id="rId6"/>
  </sheets>
  <definedNames>
    <definedName name="_xlnm._FilterDatabase" localSheetId="4" hidden="1">Sheet1!$D$159:$E$165</definedName>
  </definedNames>
  <calcPr calcId="191029"/>
  <pivotCaches>
    <pivotCache cacheId="3" r:id="rId7"/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5" i="6" l="1"/>
  <c r="I164" i="6"/>
  <c r="I163" i="6"/>
  <c r="I162" i="6"/>
  <c r="I161" i="6"/>
  <c r="I160" i="6"/>
  <c r="J151" i="6"/>
  <c r="J152" i="6"/>
  <c r="J153" i="6"/>
  <c r="J154" i="6"/>
  <c r="J155" i="6"/>
  <c r="J150" i="6"/>
  <c r="G152" i="6"/>
  <c r="G153" i="6"/>
  <c r="G154" i="6"/>
  <c r="G155" i="6"/>
  <c r="G151" i="6"/>
  <c r="Q123" i="6"/>
  <c r="M128" i="6"/>
  <c r="I7" i="2"/>
  <c r="I6" i="2"/>
  <c r="I5" i="2"/>
  <c r="I4" i="2"/>
  <c r="I3" i="2"/>
  <c r="I2" i="2"/>
  <c r="H93" i="6"/>
  <c r="G93" i="6"/>
  <c r="H92" i="6"/>
  <c r="G92" i="6"/>
  <c r="H91" i="6"/>
  <c r="G91" i="6"/>
  <c r="O90" i="6" a="1"/>
  <c r="O90" i="6"/>
  <c r="H90" i="6"/>
  <c r="G90" i="6"/>
  <c r="I89" i="6" a="1"/>
  <c r="I89" i="6"/>
  <c r="H89" i="6"/>
  <c r="G89" i="6"/>
  <c r="N88" i="6"/>
  <c r="K81" i="6" a="1"/>
  <c r="K81" i="6"/>
  <c r="K80" i="6" a="1"/>
  <c r="K80" i="6"/>
  <c r="B80" i="6" a="1"/>
  <c r="B80" i="6"/>
  <c r="A80" i="6" a="1"/>
  <c r="A80" i="6"/>
  <c r="K79" i="6" a="1"/>
  <c r="K79" i="6"/>
  <c r="F79" i="6" a="1"/>
  <c r="L72" i="6"/>
  <c r="J72" i="6"/>
  <c r="I72" i="6"/>
  <c r="J71" i="6"/>
  <c r="L71" i="6" s="1"/>
  <c r="I71" i="6"/>
  <c r="J70" i="6"/>
  <c r="L70" i="6" s="1"/>
  <c r="I70" i="6"/>
  <c r="J69" i="6"/>
  <c r="L69" i="6" s="1"/>
  <c r="I69" i="6"/>
  <c r="L68" i="6"/>
  <c r="J68" i="6"/>
  <c r="I68" i="6"/>
  <c r="J67" i="6"/>
  <c r="L67" i="6" s="1"/>
  <c r="N67" i="6" s="1"/>
  <c r="I67" i="6"/>
  <c r="J62" i="6"/>
  <c r="I62" i="6"/>
  <c r="J61" i="6"/>
  <c r="I61" i="6"/>
  <c r="J60" i="6"/>
  <c r="I60" i="6"/>
  <c r="J59" i="6"/>
  <c r="I59" i="6"/>
  <c r="J58" i="6"/>
  <c r="I58" i="6"/>
  <c r="L57" i="6" a="1"/>
  <c r="L57" i="6"/>
  <c r="J57" i="6"/>
  <c r="I57" i="6"/>
  <c r="A43" i="6"/>
  <c r="J32" i="6"/>
  <c r="L32" i="6" s="1"/>
  <c r="A40" i="6" s="1"/>
  <c r="I32" i="6"/>
  <c r="L31" i="6"/>
  <c r="J31" i="6"/>
  <c r="I31" i="6"/>
  <c r="J30" i="6"/>
  <c r="L30" i="6" s="1"/>
  <c r="I30" i="6"/>
  <c r="J29" i="6"/>
  <c r="L29" i="6" s="1"/>
  <c r="I29" i="6"/>
  <c r="J28" i="6"/>
  <c r="L28" i="6" s="1"/>
  <c r="I28" i="6"/>
  <c r="L27" i="6"/>
  <c r="J27" i="6"/>
  <c r="I27" i="6"/>
  <c r="J22" i="6"/>
  <c r="I22" i="6"/>
  <c r="J21" i="6"/>
  <c r="I21" i="6"/>
  <c r="J20" i="6"/>
  <c r="I20" i="6"/>
  <c r="J19" i="6"/>
  <c r="I19" i="6"/>
  <c r="J18" i="6"/>
  <c r="I18" i="6"/>
  <c r="J17" i="6"/>
  <c r="I17" i="6"/>
  <c r="H7" i="6"/>
  <c r="H6" i="6"/>
  <c r="H5" i="6"/>
  <c r="H4" i="6"/>
  <c r="H3" i="6"/>
  <c r="H2" i="6"/>
  <c r="J32" i="5"/>
  <c r="A39" i="6" l="1"/>
  <c r="A35" i="6"/>
  <c r="F79" i="6" s="1"/>
  <c r="A37" i="6"/>
  <c r="A36" i="6"/>
  <c r="A38" i="6"/>
  <c r="O6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<sst xmlns="http://schemas.openxmlformats.org/spreadsheetml/2006/main" count="428" uniqueCount="94">
  <si>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</si>
  <si>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</si>
  <si>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</si>
  <si>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</si>
  <si>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</si>
  <si>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</si>
  <si>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</si>
  <si>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</si>
  <si>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</si>
  <si>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</si>
  <si>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</si>
  <si>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</si>
  <si>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</si>
  <si>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</si>
  <si>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</si>
  <si>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</si>
  <si>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</si>
  <si>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</si>
  <si>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</si>
  <si>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</si>
  <si>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</si>
  <si>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</si>
  <si>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</si>
  <si>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</si>
  <si>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</si>
  <si>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</si>
  <si>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</si>
  <si>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</si>
  <si>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</si>
  <si>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</si>
  <si>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</si>
  <si>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</si>
  <si>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</si>
  <si>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</si>
  <si>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</si>
  <si>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</si>
  <si>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</si>
  <si>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</si>
  <si>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</si>
  <si>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</si>
  <si>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</si>
  <si>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</si>
  <si>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</si>
  <si>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</si>
  <si>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</si>
  <si>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</si>
  <si>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</si>
  <si>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</si>
  <si>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</si>
  <si>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</si>
  <si>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</si>
  <si>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</si>
  <si>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</si>
  <si>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</si>
  <si>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</si>
  <si>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</si>
  <si>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</si>
  <si>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</si>
  <si>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</si>
  <si>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</si>
  <si>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</si>
  <si>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</si>
  <si>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total</t>
  </si>
  <si>
    <t>Gst</t>
  </si>
  <si>
    <t>total sales</t>
  </si>
  <si>
    <t>Total amount gst</t>
  </si>
  <si>
    <t>Find Final Amount payable (Total Sales + GST).</t>
  </si>
  <si>
    <t>payable amount</t>
  </si>
  <si>
    <t>oder-id</t>
  </si>
  <si>
    <t>Classification</t>
  </si>
  <si>
    <t>Quanitiy</t>
  </si>
  <si>
    <t>Max</t>
  </si>
  <si>
    <t>min</t>
  </si>
  <si>
    <t>Student_ID</t>
  </si>
  <si>
    <t>Name</t>
  </si>
  <si>
    <t>Maths</t>
  </si>
  <si>
    <t>Statistics</t>
  </si>
  <si>
    <t>Excel</t>
  </si>
  <si>
    <t>Attendance_%</t>
  </si>
  <si>
    <t>msarks</t>
  </si>
  <si>
    <t>Eligiblility</t>
  </si>
  <si>
    <t>Rahul</t>
  </si>
  <si>
    <t>Sneha</t>
  </si>
  <si>
    <t>Arjun</t>
  </si>
  <si>
    <t>Pooja</t>
  </si>
  <si>
    <t>Vikas</t>
  </si>
  <si>
    <t>Row Labels</t>
  </si>
  <si>
    <t>Grand Total</t>
  </si>
  <si>
    <t>Sum of total sales</t>
  </si>
  <si>
    <t>Sum of Maths</t>
  </si>
  <si>
    <t>Sum of Statistics</t>
  </si>
  <si>
    <t>Sum of Excel</t>
  </si>
  <si>
    <t>median</t>
  </si>
  <si>
    <t>id.name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</si>
</sst>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[MS_Excel_Practical_Exam_Medium_Level-Nidhi.xlsx]Student_Marks!PivotTable5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02537182852144"/>
          <c:y val="0.13323855351414407"/>
          <c:w val="0.65834405074365709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Student_Marks!$B$10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Student_Marks!$A$11:$A$16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Student_Marks!$B$11:$B$16</c:f>
              <c:numCache>
                <c:formatCode>General</c:formatCode>
                <c:ptCount val="5"/>
                <c:pt idx="0">
                  <c:v>65</c:v>
                </c:pt>
                <c:pt idx="1">
                  <c:v>92</c:v>
                </c:pt>
                <c:pt idx="2">
                  <c:v>78</c:v>
                </c:pt>
                <c:pt idx="3">
                  <c:v>88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F-4848-B6C8-624FC6E1AE6F}"/>
            </c:ext>
          </c:extLst>
        </c:ser>
        <c:ser>
          <c:idx val="1"/>
          <c:order val="1"/>
          <c:tx>
            <c:strRef>
              <c:f>Student_Marks!$C$10</c:f>
              <c:strCache>
                <c:ptCount val="1"/>
                <c:pt idx="0">
                  <c:v>Sum of Statistics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Student_Marks!$A$11:$A$16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Student_Marks!$C$11:$C$16</c:f>
              <c:numCache>
                <c:formatCode>General</c:formatCode>
                <c:ptCount val="5"/>
                <c:pt idx="0">
                  <c:v>70</c:v>
                </c:pt>
                <c:pt idx="1">
                  <c:v>89</c:v>
                </c:pt>
                <c:pt idx="2">
                  <c:v>82</c:v>
                </c:pt>
                <c:pt idx="3">
                  <c:v>91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F-4848-B6C8-624FC6E1AE6F}"/>
            </c:ext>
          </c:extLst>
        </c:ser>
        <c:ser>
          <c:idx val="2"/>
          <c:order val="2"/>
          <c:tx>
            <c:strRef>
              <c:f>Student_Marks!$D$10</c:f>
              <c:strCache>
                <c:ptCount val="1"/>
                <c:pt idx="0">
                  <c:v>Sum of Excel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Student_Marks!$A$11:$A$16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Student_Marks!$D$11:$D$16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BF-4848-B6C8-624FC6E1A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436432"/>
        <c:axId val="139436848"/>
      </c:barChart>
      <c:catAx>
        <c:axId val="13943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6848"/>
        <c:crosses val="autoZero"/>
        <c:auto val="1"/>
        <c:lblAlgn val="ctr"/>
        <c:lblOffset val="100"/>
        <c:noMultiLvlLbl val="0"/>
      </c:catAx>
      <c:valAx>
        <c:axId val="13943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122</xdr:row>
      <xdr:rowOff>0</xdr:rowOff>
    </xdr:from>
    <xdr:to>
      <xdr:col>6</xdr:col>
      <xdr:colOff>504825</xdr:colOff>
      <xdr:row>135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F7488-07CE-4E2E-ACD2-91933CBCD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1" refreshedDate="46216.612384722219" createdVersion="8" refreshedVersion="8" minRefreshableVersion="3" recordCount="6" xr:uid="{C5765A11-FFD9-4E9A-98C2-D20D27BBF749}">
  <cacheSource type="worksheet">
    <worksheetSource ref="A1:I7" sheet="Sales_Data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iti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GST_%" numFmtId="0">
      <sharedItems containsSemiMixedTypes="0" containsString="0" containsNumber="1" containsInteger="1" minValue="12" maxValue="18"/>
    </cacheField>
    <cacheField name="total sales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1" refreshedDate="46216.615834490738" createdVersion="8" refreshedVersion="8" minRefreshableVersion="3" recordCount="5" xr:uid="{6EE77AC5-42C3-4EB5-A8FE-CA0900175E0E}">
  <cacheSource type="worksheet">
    <worksheetSource ref="A1:F6" sheet="Student_Marks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18"/>
    <n v="90000"/>
  </r>
  <r>
    <n v="302"/>
    <x v="1"/>
    <s v="Riya"/>
    <x v="1"/>
    <n v="5"/>
    <n v="15000"/>
    <s v="07-01-2025"/>
    <n v="12"/>
    <n v="75000"/>
  </r>
  <r>
    <n v="303"/>
    <x v="2"/>
    <s v="Kunal"/>
    <x v="2"/>
    <n v="3"/>
    <n v="18000"/>
    <s v="10-01-2025"/>
    <n v="12"/>
    <n v="54000"/>
  </r>
  <r>
    <n v="304"/>
    <x v="3"/>
    <s v="Neha"/>
    <x v="0"/>
    <n v="1"/>
    <n v="45000"/>
    <s v="12-01-2025"/>
    <n v="18"/>
    <n v="45000"/>
  </r>
  <r>
    <n v="305"/>
    <x v="0"/>
    <s v="Amit"/>
    <x v="1"/>
    <n v="4"/>
    <n v="15000"/>
    <s v="15-01-2025"/>
    <n v="12"/>
    <n v="60000"/>
  </r>
  <r>
    <n v="306"/>
    <x v="1"/>
    <s v="Riya"/>
    <x v="0"/>
    <n v="2"/>
    <n v="45000"/>
    <s v="18-01-2025"/>
    <n v="12"/>
    <n v="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9ACDB-0501-4649-B51C-7B212874A79A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2:O16" firstHeaderRow="1" firstDataRow="1" firstDataCol="1"/>
  <pivotFields count="9"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3F2BC-077C-4AE1-B044-DD9536F11ECB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H17" firstHeaderRow="1" firstDataRow="1" firstDataCol="1"/>
  <pivotFields count="9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D7CBB-B213-41C7-8221-A1E91B3DDC3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70E06-526D-4571-9103-E340F4326432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4:B118" firstHeaderRow="1" firstDataRow="1" firstDataCol="1"/>
  <pivotFields count="9"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9E922-DDAE-4272-A854-F8924E729D5F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5:B110" firstHeaderRow="1" firstDataRow="1" firstDataCol="1"/>
  <pivotFields count="9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A1273-F0A6-48AC-BF89-5441FEEC1237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7:B101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A523D-66D0-4211-B223-75EB63CA0209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:D16" firstHeaderRow="0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s" fld="2" baseField="0" baseItem="0"/>
    <dataField name="Sum of Statistics" fld="3" baseField="0" baseItem="0"/>
    <dataField name="Sum of Excel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opLeftCell="A9" workbookViewId="0">
      <selection activeCell="A25" sqref="A25:F25"/>
    </sheetView>
  </sheetViews>
  <sheetFormatPr defaultColWidth="9" defaultRowHeight="15"/>
  <sheetData>
    <row r="1" spans="1:10">
      <c r="A1" t="s">
        <v>0</v>
      </c>
      <c r="J1">
        <v>2</v>
      </c>
    </row>
    <row r="2" spans="1:10">
      <c r="A2" t="s">
        <v>1</v>
      </c>
      <c r="J2">
        <v>2</v>
      </c>
    </row>
    <row r="3" spans="1:10">
      <c r="A3" t="s">
        <v>2</v>
      </c>
      <c r="J3">
        <v>2</v>
      </c>
    </row>
    <row r="4" spans="1:10">
      <c r="A4" t="s">
        <v>3</v>
      </c>
      <c r="J4">
        <v>2</v>
      </c>
    </row>
    <row r="5" spans="1:10">
      <c r="A5" t="s">
        <v>4</v>
      </c>
      <c r="J5">
        <v>2</v>
      </c>
    </row>
    <row r="6" spans="1:10">
      <c r="A6" t="s">
        <v>5</v>
      </c>
      <c r="J6">
        <v>2</v>
      </c>
    </row>
    <row r="7" spans="1:10">
      <c r="A7" t="s">
        <v>6</v>
      </c>
      <c r="J7">
        <v>2</v>
      </c>
    </row>
    <row r="8" spans="1:10">
      <c r="A8" t="s">
        <v>7</v>
      </c>
      <c r="J8">
        <v>2</v>
      </c>
    </row>
    <row r="9" spans="1:10">
      <c r="A9" t="s">
        <v>8</v>
      </c>
      <c r="J9">
        <v>2</v>
      </c>
    </row>
    <row r="10" spans="1:10">
      <c r="A10" t="s">
        <v>9</v>
      </c>
      <c r="J10">
        <v>2</v>
      </c>
    </row>
    <row r="11" spans="1:10">
      <c r="A11" t="s">
        <v>10</v>
      </c>
      <c r="J11">
        <v>2</v>
      </c>
    </row>
    <row r="12" spans="1:10">
      <c r="A12" t="s">
        <v>11</v>
      </c>
      <c r="J12">
        <v>2</v>
      </c>
    </row>
    <row r="13" spans="1:10">
      <c r="A13" t="s">
        <v>12</v>
      </c>
      <c r="J13">
        <v>2</v>
      </c>
    </row>
    <row r="14" spans="1:10">
      <c r="A14" t="s">
        <v>13</v>
      </c>
      <c r="J14">
        <v>2</v>
      </c>
    </row>
    <row r="15" spans="1:10">
      <c r="A15" t="s">
        <v>14</v>
      </c>
      <c r="J15">
        <v>2</v>
      </c>
    </row>
    <row r="16" spans="1:10">
      <c r="A16" t="s">
        <v>15</v>
      </c>
      <c r="J16">
        <v>2</v>
      </c>
    </row>
    <row r="17" spans="1:10">
      <c r="A17" t="s">
        <v>16</v>
      </c>
      <c r="J17">
        <v>2</v>
      </c>
    </row>
    <row r="18" spans="1:10">
      <c r="A18" t="s">
        <v>17</v>
      </c>
      <c r="J18">
        <v>2</v>
      </c>
    </row>
    <row r="19" spans="1:10">
      <c r="A19" t="s">
        <v>18</v>
      </c>
      <c r="J19">
        <v>2</v>
      </c>
    </row>
    <row r="20" spans="1:10">
      <c r="A20" t="s">
        <v>19</v>
      </c>
      <c r="J20">
        <v>2</v>
      </c>
    </row>
    <row r="21" spans="1:10">
      <c r="A21" t="s">
        <v>20</v>
      </c>
      <c r="J21">
        <v>2</v>
      </c>
    </row>
    <row r="22" spans="1:10">
      <c r="A22" t="s">
        <v>21</v>
      </c>
      <c r="J22">
        <v>2</v>
      </c>
    </row>
    <row r="23" spans="1:10">
      <c r="A23" t="s">
        <v>22</v>
      </c>
      <c r="J23">
        <v>2</v>
      </c>
    </row>
    <row r="24" spans="1:10">
      <c r="A24" t="s">
        <v>23</v>
      </c>
      <c r="J24">
        <v>2</v>
      </c>
    </row>
    <row r="25" spans="1:10">
      <c r="A25" t="s">
        <v>24</v>
      </c>
      <c r="J25">
        <v>2</v>
      </c>
    </row>
    <row r="26" spans="1:10">
      <c r="A26" t="s">
        <v>25</v>
      </c>
      <c r="J26">
        <v>2</v>
      </c>
    </row>
    <row r="27" spans="1:10">
      <c r="A27" t="s">
        <v>26</v>
      </c>
      <c r="J27">
        <v>2</v>
      </c>
    </row>
    <row r="28" spans="1:10">
      <c r="A28" t="s">
        <v>27</v>
      </c>
      <c r="J28">
        <v>2</v>
      </c>
    </row>
    <row r="29" spans="1:10">
      <c r="A29" t="s">
        <v>28</v>
      </c>
      <c r="J29">
        <v>2</v>
      </c>
    </row>
    <row r="30" spans="1:10">
      <c r="A30" t="s">
        <v>29</v>
      </c>
      <c r="J30">
        <v>2</v>
      </c>
    </row>
    <row r="32" spans="1:10">
      <c r="J32">
        <f>SUM(J1:J30)</f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I13" sqref="I13"/>
    </sheetView>
  </sheetViews>
  <sheetFormatPr defaultColWidth="9" defaultRowHeight="15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>
      <selection sqref="A1:I7"/>
    </sheetView>
  </sheetViews>
  <sheetFormatPr defaultColWidth="9" defaultRowHeight="15"/>
  <cols>
    <col min="1" max="1" width="13.140625" bestFit="1" customWidth="1"/>
    <col min="2" max="2" width="16.7109375" bestFit="1" customWidth="1"/>
    <col min="4" max="4" width="13.140625" bestFit="1" customWidth="1"/>
    <col min="5" max="5" width="16.7109375" bestFit="1" customWidth="1"/>
    <col min="6" max="6" width="11.42578125" customWidth="1"/>
    <col min="14" max="14" width="13.140625" bestFit="1" customWidth="1"/>
    <col min="15" max="15" width="16.7109375" bestFit="1" customWidth="1"/>
  </cols>
  <sheetData>
    <row r="1" spans="1:15">
      <c r="A1" t="s">
        <v>35</v>
      </c>
      <c r="B1" t="s">
        <v>36</v>
      </c>
      <c r="C1" t="s">
        <v>37</v>
      </c>
      <c r="D1" t="s">
        <v>38</v>
      </c>
      <c r="E1" t="s">
        <v>70</v>
      </c>
      <c r="F1" t="s">
        <v>40</v>
      </c>
      <c r="G1" t="s">
        <v>41</v>
      </c>
      <c r="H1" t="s">
        <v>60</v>
      </c>
      <c r="I1" t="s">
        <v>64</v>
      </c>
    </row>
    <row r="2" spans="1:15">
      <c r="A2">
        <v>301</v>
      </c>
      <c r="B2" t="s">
        <v>42</v>
      </c>
      <c r="C2" t="s">
        <v>43</v>
      </c>
      <c r="D2" t="s">
        <v>44</v>
      </c>
      <c r="E2">
        <v>2</v>
      </c>
      <c r="F2">
        <v>45000</v>
      </c>
      <c r="G2" t="s">
        <v>45</v>
      </c>
      <c r="H2">
        <v>18</v>
      </c>
      <c r="I2">
        <f>F2*E2</f>
        <v>90000</v>
      </c>
    </row>
    <row r="3" spans="1:15">
      <c r="A3">
        <v>302</v>
      </c>
      <c r="B3" t="s">
        <v>46</v>
      </c>
      <c r="C3" t="s">
        <v>47</v>
      </c>
      <c r="D3" t="s">
        <v>48</v>
      </c>
      <c r="E3">
        <v>5</v>
      </c>
      <c r="F3">
        <v>15000</v>
      </c>
      <c r="G3" t="s">
        <v>49</v>
      </c>
      <c r="H3">
        <v>12</v>
      </c>
      <c r="I3">
        <f t="shared" ref="I3:I7" si="0">F3*E3</f>
        <v>75000</v>
      </c>
    </row>
    <row r="4" spans="1:15">
      <c r="A4">
        <v>303</v>
      </c>
      <c r="B4" t="s">
        <v>50</v>
      </c>
      <c r="C4" t="s">
        <v>51</v>
      </c>
      <c r="D4" t="s">
        <v>52</v>
      </c>
      <c r="E4">
        <v>3</v>
      </c>
      <c r="F4">
        <v>18000</v>
      </c>
      <c r="G4" t="s">
        <v>53</v>
      </c>
      <c r="H4">
        <v>12</v>
      </c>
      <c r="I4">
        <f t="shared" si="0"/>
        <v>54000</v>
      </c>
    </row>
    <row r="5" spans="1:15">
      <c r="A5">
        <v>304</v>
      </c>
      <c r="B5" t="s">
        <v>54</v>
      </c>
      <c r="C5" t="s">
        <v>55</v>
      </c>
      <c r="D5" t="s">
        <v>44</v>
      </c>
      <c r="E5">
        <v>1</v>
      </c>
      <c r="F5">
        <v>45000</v>
      </c>
      <c r="G5" t="s">
        <v>56</v>
      </c>
      <c r="H5">
        <v>18</v>
      </c>
      <c r="I5">
        <f t="shared" si="0"/>
        <v>45000</v>
      </c>
    </row>
    <row r="6" spans="1:15">
      <c r="A6">
        <v>305</v>
      </c>
      <c r="B6" t="s">
        <v>42</v>
      </c>
      <c r="C6" t="s">
        <v>43</v>
      </c>
      <c r="D6" t="s">
        <v>48</v>
      </c>
      <c r="E6">
        <v>4</v>
      </c>
      <c r="F6">
        <v>15000</v>
      </c>
      <c r="G6" t="s">
        <v>57</v>
      </c>
      <c r="H6">
        <v>12</v>
      </c>
      <c r="I6">
        <f t="shared" si="0"/>
        <v>60000</v>
      </c>
    </row>
    <row r="7" spans="1:15">
      <c r="A7">
        <v>306</v>
      </c>
      <c r="B7" t="s">
        <v>46</v>
      </c>
      <c r="C7" t="s">
        <v>47</v>
      </c>
      <c r="D7" t="s">
        <v>44</v>
      </c>
      <c r="E7">
        <v>2</v>
      </c>
      <c r="F7">
        <v>45000</v>
      </c>
      <c r="G7" t="s">
        <v>58</v>
      </c>
      <c r="H7">
        <v>12</v>
      </c>
      <c r="I7">
        <f t="shared" si="0"/>
        <v>90000</v>
      </c>
    </row>
    <row r="10" spans="1:15">
      <c r="A10" t="s">
        <v>15</v>
      </c>
    </row>
    <row r="11" spans="1:15">
      <c r="G11" t="s">
        <v>16</v>
      </c>
      <c r="N11" t="s">
        <v>17</v>
      </c>
    </row>
    <row r="12" spans="1:15">
      <c r="A12" s="1" t="s">
        <v>86</v>
      </c>
      <c r="B12" t="s">
        <v>88</v>
      </c>
      <c r="G12" s="1" t="s">
        <v>86</v>
      </c>
      <c r="H12" t="s">
        <v>88</v>
      </c>
      <c r="N12" s="1" t="s">
        <v>86</v>
      </c>
      <c r="O12" t="s">
        <v>88</v>
      </c>
    </row>
    <row r="13" spans="1:15">
      <c r="A13" s="2" t="s">
        <v>44</v>
      </c>
      <c r="B13" s="3">
        <v>225000</v>
      </c>
      <c r="G13" s="2" t="s">
        <v>50</v>
      </c>
      <c r="H13" s="3">
        <v>54000</v>
      </c>
      <c r="N13" s="2" t="s">
        <v>44</v>
      </c>
      <c r="O13" s="3">
        <v>225000</v>
      </c>
    </row>
    <row r="14" spans="1:15">
      <c r="A14" s="2" t="s">
        <v>48</v>
      </c>
      <c r="B14" s="3">
        <v>135000</v>
      </c>
      <c r="G14" s="2" t="s">
        <v>42</v>
      </c>
      <c r="H14" s="3">
        <v>150000</v>
      </c>
      <c r="N14" s="2" t="s">
        <v>48</v>
      </c>
      <c r="O14" s="3">
        <v>135000</v>
      </c>
    </row>
    <row r="15" spans="1:15">
      <c r="A15" s="2" t="s">
        <v>52</v>
      </c>
      <c r="B15" s="3">
        <v>54000</v>
      </c>
      <c r="G15" s="2" t="s">
        <v>46</v>
      </c>
      <c r="H15" s="3">
        <v>165000</v>
      </c>
      <c r="N15" s="2" t="s">
        <v>52</v>
      </c>
      <c r="O15" s="3">
        <v>54000</v>
      </c>
    </row>
    <row r="16" spans="1:15">
      <c r="A16" s="2" t="s">
        <v>87</v>
      </c>
      <c r="B16" s="3">
        <v>414000</v>
      </c>
      <c r="G16" s="2" t="s">
        <v>54</v>
      </c>
      <c r="H16" s="3">
        <v>45000</v>
      </c>
      <c r="N16" s="2" t="s">
        <v>87</v>
      </c>
      <c r="O16" s="3">
        <v>414000</v>
      </c>
    </row>
    <row r="17" spans="7:8">
      <c r="G17" s="2" t="s">
        <v>87</v>
      </c>
      <c r="H17" s="3">
        <v>414000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sqref="A1:C4"/>
    </sheetView>
  </sheetViews>
  <sheetFormatPr defaultColWidth="9" defaultRowHeight="15"/>
  <sheetData>
    <row r="1" spans="1:3">
      <c r="A1" t="s">
        <v>38</v>
      </c>
      <c r="B1" t="s">
        <v>59</v>
      </c>
      <c r="C1" t="s">
        <v>60</v>
      </c>
    </row>
    <row r="2" spans="1:3">
      <c r="A2" t="s">
        <v>44</v>
      </c>
      <c r="B2" t="s">
        <v>61</v>
      </c>
      <c r="C2">
        <v>18</v>
      </c>
    </row>
    <row r="3" spans="1:3">
      <c r="A3" t="s">
        <v>48</v>
      </c>
      <c r="B3" t="s">
        <v>61</v>
      </c>
      <c r="C3">
        <v>12</v>
      </c>
    </row>
    <row r="4" spans="1:3">
      <c r="A4" t="s">
        <v>52</v>
      </c>
      <c r="B4" t="s">
        <v>61</v>
      </c>
      <c r="C4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R165"/>
  <sheetViews>
    <sheetView tabSelected="1" topLeftCell="A147" workbookViewId="0">
      <selection activeCell="F158" sqref="F158"/>
    </sheetView>
  </sheetViews>
  <sheetFormatPr defaultColWidth="9" defaultRowHeight="15"/>
  <cols>
    <col min="6" max="6" width="14" customWidth="1"/>
    <col min="7" max="7" width="10.5703125" customWidth="1"/>
    <col min="8" max="8" width="12.85546875"/>
    <col min="10" max="10" width="12.85546875"/>
  </cols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62</v>
      </c>
    </row>
    <row r="2" spans="1:10">
      <c r="A2">
        <v>301</v>
      </c>
      <c r="B2" t="s">
        <v>42</v>
      </c>
      <c r="C2" t="s">
        <v>43</v>
      </c>
      <c r="D2" t="s">
        <v>44</v>
      </c>
      <c r="E2">
        <v>2</v>
      </c>
      <c r="F2">
        <v>45000</v>
      </c>
      <c r="G2" t="s">
        <v>45</v>
      </c>
      <c r="H2">
        <f>E2*F2</f>
        <v>90000</v>
      </c>
    </row>
    <row r="3" spans="1:10">
      <c r="A3">
        <v>302</v>
      </c>
      <c r="B3" t="s">
        <v>46</v>
      </c>
      <c r="C3" t="s">
        <v>47</v>
      </c>
      <c r="D3" t="s">
        <v>48</v>
      </c>
      <c r="E3">
        <v>5</v>
      </c>
      <c r="F3">
        <v>15000</v>
      </c>
      <c r="G3" t="s">
        <v>49</v>
      </c>
      <c r="H3">
        <f t="shared" ref="H3:H7" si="0">E3*F3</f>
        <v>75000</v>
      </c>
    </row>
    <row r="4" spans="1:10">
      <c r="A4">
        <v>303</v>
      </c>
      <c r="B4" t="s">
        <v>50</v>
      </c>
      <c r="C4" t="s">
        <v>51</v>
      </c>
      <c r="D4" t="s">
        <v>52</v>
      </c>
      <c r="E4">
        <v>3</v>
      </c>
      <c r="F4">
        <v>18000</v>
      </c>
      <c r="G4" t="s">
        <v>53</v>
      </c>
      <c r="H4">
        <f t="shared" si="0"/>
        <v>54000</v>
      </c>
    </row>
    <row r="5" spans="1:10">
      <c r="A5">
        <v>304</v>
      </c>
      <c r="B5" t="s">
        <v>54</v>
      </c>
      <c r="C5" t="s">
        <v>55</v>
      </c>
      <c r="D5" t="s">
        <v>44</v>
      </c>
      <c r="E5">
        <v>1</v>
      </c>
      <c r="F5">
        <v>45000</v>
      </c>
      <c r="G5" t="s">
        <v>56</v>
      </c>
      <c r="H5">
        <f t="shared" si="0"/>
        <v>45000</v>
      </c>
    </row>
    <row r="6" spans="1:10">
      <c r="A6">
        <v>305</v>
      </c>
      <c r="B6" t="s">
        <v>42</v>
      </c>
      <c r="C6" t="s">
        <v>43</v>
      </c>
      <c r="D6" t="s">
        <v>48</v>
      </c>
      <c r="E6">
        <v>4</v>
      </c>
      <c r="F6">
        <v>15000</v>
      </c>
      <c r="G6" t="s">
        <v>57</v>
      </c>
      <c r="H6">
        <f t="shared" si="0"/>
        <v>60000</v>
      </c>
    </row>
    <row r="7" spans="1:10">
      <c r="A7">
        <v>306</v>
      </c>
      <c r="B7" t="s">
        <v>46</v>
      </c>
      <c r="C7" t="s">
        <v>47</v>
      </c>
      <c r="D7" t="s">
        <v>44</v>
      </c>
      <c r="E7">
        <v>2</v>
      </c>
      <c r="F7">
        <v>45000</v>
      </c>
      <c r="G7" t="s">
        <v>58</v>
      </c>
      <c r="H7">
        <f t="shared" si="0"/>
        <v>90000</v>
      </c>
    </row>
    <row r="9" spans="1:10">
      <c r="A9" t="s">
        <v>1</v>
      </c>
    </row>
    <row r="11" spans="1:10">
      <c r="A11" t="s">
        <v>38</v>
      </c>
      <c r="B11" t="s">
        <v>59</v>
      </c>
      <c r="C11" t="s">
        <v>60</v>
      </c>
      <c r="D11" t="s">
        <v>63</v>
      </c>
    </row>
    <row r="12" spans="1:10">
      <c r="A12" t="s">
        <v>44</v>
      </c>
      <c r="B12" t="s">
        <v>61</v>
      </c>
      <c r="C12">
        <v>18</v>
      </c>
      <c r="E12" t="s">
        <v>44</v>
      </c>
      <c r="F12">
        <v>0.18</v>
      </c>
    </row>
    <row r="13" spans="1:10">
      <c r="A13" t="s">
        <v>48</v>
      </c>
      <c r="B13" t="s">
        <v>61</v>
      </c>
      <c r="C13">
        <v>12</v>
      </c>
      <c r="E13" t="s">
        <v>48</v>
      </c>
      <c r="F13">
        <v>0.12</v>
      </c>
    </row>
    <row r="14" spans="1:10">
      <c r="A14" t="s">
        <v>52</v>
      </c>
      <c r="B14" t="s">
        <v>61</v>
      </c>
      <c r="C14">
        <v>12</v>
      </c>
      <c r="E14" t="s">
        <v>52</v>
      </c>
      <c r="F14">
        <v>0.12</v>
      </c>
    </row>
    <row r="16" spans="1:10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60</v>
      </c>
      <c r="I16" t="s">
        <v>64</v>
      </c>
      <c r="J16" t="s">
        <v>65</v>
      </c>
    </row>
    <row r="17" spans="1:12">
      <c r="A17">
        <v>301</v>
      </c>
      <c r="B17" t="s">
        <v>42</v>
      </c>
      <c r="C17" t="s">
        <v>43</v>
      </c>
      <c r="D17" t="s">
        <v>44</v>
      </c>
      <c r="E17">
        <v>2</v>
      </c>
      <c r="F17">
        <v>45000</v>
      </c>
      <c r="G17" t="s">
        <v>45</v>
      </c>
      <c r="H17">
        <v>18</v>
      </c>
      <c r="I17">
        <f>F17*E17</f>
        <v>90000</v>
      </c>
      <c r="J17">
        <f t="shared" ref="J17:J22" si="1">I17*VLOOKUP(D17,$E$12:$E$14:$F$12:$F$14,2,FALSE)</f>
        <v>16200</v>
      </c>
    </row>
    <row r="18" spans="1:12">
      <c r="A18">
        <v>302</v>
      </c>
      <c r="B18" t="s">
        <v>46</v>
      </c>
      <c r="C18" t="s">
        <v>47</v>
      </c>
      <c r="D18" t="s">
        <v>48</v>
      </c>
      <c r="E18">
        <v>5</v>
      </c>
      <c r="F18">
        <v>15000</v>
      </c>
      <c r="G18" t="s">
        <v>49</v>
      </c>
      <c r="H18">
        <v>12</v>
      </c>
      <c r="I18">
        <f t="shared" ref="I18:I22" si="2">F18*E18</f>
        <v>75000</v>
      </c>
      <c r="J18">
        <f t="shared" si="1"/>
        <v>9000</v>
      </c>
    </row>
    <row r="19" spans="1:12">
      <c r="A19">
        <v>303</v>
      </c>
      <c r="B19" t="s">
        <v>50</v>
      </c>
      <c r="C19" t="s">
        <v>51</v>
      </c>
      <c r="D19" t="s">
        <v>52</v>
      </c>
      <c r="E19">
        <v>3</v>
      </c>
      <c r="F19">
        <v>18000</v>
      </c>
      <c r="G19" t="s">
        <v>53</v>
      </c>
      <c r="H19">
        <v>12</v>
      </c>
      <c r="I19">
        <f t="shared" si="2"/>
        <v>54000</v>
      </c>
      <c r="J19">
        <f t="shared" si="1"/>
        <v>6480</v>
      </c>
    </row>
    <row r="20" spans="1:12">
      <c r="A20">
        <v>304</v>
      </c>
      <c r="B20" t="s">
        <v>54</v>
      </c>
      <c r="C20" t="s">
        <v>55</v>
      </c>
      <c r="D20" t="s">
        <v>44</v>
      </c>
      <c r="E20">
        <v>1</v>
      </c>
      <c r="F20">
        <v>45000</v>
      </c>
      <c r="G20" t="s">
        <v>56</v>
      </c>
      <c r="H20">
        <v>18</v>
      </c>
      <c r="I20">
        <f t="shared" si="2"/>
        <v>45000</v>
      </c>
      <c r="J20">
        <f t="shared" si="1"/>
        <v>8100</v>
      </c>
    </row>
    <row r="21" spans="1:12">
      <c r="A21">
        <v>305</v>
      </c>
      <c r="B21" t="s">
        <v>42</v>
      </c>
      <c r="C21" t="s">
        <v>43</v>
      </c>
      <c r="D21" t="s">
        <v>48</v>
      </c>
      <c r="E21">
        <v>4</v>
      </c>
      <c r="F21">
        <v>15000</v>
      </c>
      <c r="G21" t="s">
        <v>57</v>
      </c>
      <c r="H21">
        <v>12</v>
      </c>
      <c r="I21">
        <f t="shared" si="2"/>
        <v>60000</v>
      </c>
      <c r="J21">
        <f t="shared" si="1"/>
        <v>7200</v>
      </c>
    </row>
    <row r="22" spans="1:12">
      <c r="A22">
        <v>306</v>
      </c>
      <c r="B22" t="s">
        <v>46</v>
      </c>
      <c r="C22" t="s">
        <v>47</v>
      </c>
      <c r="D22" t="s">
        <v>44</v>
      </c>
      <c r="E22">
        <v>2</v>
      </c>
      <c r="F22">
        <v>45000</v>
      </c>
      <c r="G22" t="s">
        <v>58</v>
      </c>
      <c r="H22">
        <v>12</v>
      </c>
      <c r="I22">
        <f t="shared" si="2"/>
        <v>90000</v>
      </c>
      <c r="J22">
        <f t="shared" si="1"/>
        <v>16200</v>
      </c>
    </row>
    <row r="24" spans="1:12">
      <c r="A24" t="s">
        <v>66</v>
      </c>
    </row>
    <row r="26" spans="1:12">
      <c r="A26" t="s">
        <v>35</v>
      </c>
      <c r="B26" t="s">
        <v>35</v>
      </c>
      <c r="C26" t="s">
        <v>35</v>
      </c>
      <c r="D26" t="s">
        <v>35</v>
      </c>
      <c r="E26" t="s">
        <v>35</v>
      </c>
      <c r="F26" t="s">
        <v>40</v>
      </c>
      <c r="G26" t="s">
        <v>41</v>
      </c>
      <c r="H26" t="s">
        <v>60</v>
      </c>
      <c r="I26" t="s">
        <v>64</v>
      </c>
      <c r="J26" t="s">
        <v>65</v>
      </c>
      <c r="L26" t="s">
        <v>67</v>
      </c>
    </row>
    <row r="27" spans="1:12">
      <c r="A27">
        <v>301</v>
      </c>
      <c r="B27" t="s">
        <v>42</v>
      </c>
      <c r="C27" t="s">
        <v>43</v>
      </c>
      <c r="D27" t="s">
        <v>44</v>
      </c>
      <c r="E27">
        <v>2</v>
      </c>
      <c r="F27">
        <v>45000</v>
      </c>
      <c r="G27" t="s">
        <v>45</v>
      </c>
      <c r="H27">
        <v>18</v>
      </c>
      <c r="I27">
        <f>F27*E27</f>
        <v>90000</v>
      </c>
      <c r="J27">
        <f t="shared" ref="J27:J32" si="3">I27*VLOOKUP(D27,$E$12:$E$14:$F$12:$F$14,2,FALSE)</f>
        <v>16200</v>
      </c>
      <c r="L27">
        <f>I27+J27</f>
        <v>106200</v>
      </c>
    </row>
    <row r="28" spans="1:12">
      <c r="A28">
        <v>302</v>
      </c>
      <c r="B28" t="s">
        <v>46</v>
      </c>
      <c r="C28" t="s">
        <v>47</v>
      </c>
      <c r="D28" t="s">
        <v>48</v>
      </c>
      <c r="E28">
        <v>5</v>
      </c>
      <c r="F28">
        <v>15000</v>
      </c>
      <c r="G28" t="s">
        <v>49</v>
      </c>
      <c r="H28">
        <v>12</v>
      </c>
      <c r="I28">
        <f t="shared" ref="I28:I32" si="4">F28*E28</f>
        <v>75000</v>
      </c>
      <c r="J28">
        <f t="shared" si="3"/>
        <v>9000</v>
      </c>
      <c r="L28">
        <f t="shared" ref="L28:L32" si="5">I28+J28</f>
        <v>84000</v>
      </c>
    </row>
    <row r="29" spans="1:12">
      <c r="A29">
        <v>303</v>
      </c>
      <c r="B29" t="s">
        <v>50</v>
      </c>
      <c r="C29" t="s">
        <v>51</v>
      </c>
      <c r="D29" t="s">
        <v>52</v>
      </c>
      <c r="E29">
        <v>3</v>
      </c>
      <c r="F29">
        <v>18000</v>
      </c>
      <c r="G29" t="s">
        <v>53</v>
      </c>
      <c r="H29">
        <v>12</v>
      </c>
      <c r="I29">
        <f t="shared" si="4"/>
        <v>54000</v>
      </c>
      <c r="J29">
        <f t="shared" si="3"/>
        <v>6480</v>
      </c>
      <c r="L29">
        <f t="shared" si="5"/>
        <v>60480</v>
      </c>
    </row>
    <row r="30" spans="1:12">
      <c r="A30">
        <v>304</v>
      </c>
      <c r="B30" t="s">
        <v>54</v>
      </c>
      <c r="C30" t="s">
        <v>55</v>
      </c>
      <c r="D30" t="s">
        <v>44</v>
      </c>
      <c r="E30">
        <v>1</v>
      </c>
      <c r="F30">
        <v>45000</v>
      </c>
      <c r="G30" t="s">
        <v>56</v>
      </c>
      <c r="H30">
        <v>18</v>
      </c>
      <c r="I30">
        <f t="shared" si="4"/>
        <v>45000</v>
      </c>
      <c r="J30">
        <f t="shared" si="3"/>
        <v>8100</v>
      </c>
      <c r="L30">
        <f t="shared" si="5"/>
        <v>53100</v>
      </c>
    </row>
    <row r="31" spans="1:12">
      <c r="A31">
        <v>305</v>
      </c>
      <c r="B31" t="s">
        <v>42</v>
      </c>
      <c r="C31" t="s">
        <v>43</v>
      </c>
      <c r="D31" t="s">
        <v>48</v>
      </c>
      <c r="E31">
        <v>4</v>
      </c>
      <c r="F31">
        <v>15000</v>
      </c>
      <c r="G31" t="s">
        <v>57</v>
      </c>
      <c r="H31">
        <v>12</v>
      </c>
      <c r="I31">
        <f t="shared" si="4"/>
        <v>60000</v>
      </c>
      <c r="J31">
        <f t="shared" si="3"/>
        <v>7200</v>
      </c>
      <c r="L31">
        <f t="shared" si="5"/>
        <v>67200</v>
      </c>
    </row>
    <row r="32" spans="1:12">
      <c r="A32">
        <v>306</v>
      </c>
      <c r="B32" t="s">
        <v>46</v>
      </c>
      <c r="C32" t="s">
        <v>47</v>
      </c>
      <c r="D32" t="s">
        <v>44</v>
      </c>
      <c r="E32">
        <v>2</v>
      </c>
      <c r="F32">
        <v>45000</v>
      </c>
      <c r="G32" t="s">
        <v>58</v>
      </c>
      <c r="H32">
        <v>12</v>
      </c>
      <c r="I32">
        <f t="shared" si="4"/>
        <v>90000</v>
      </c>
      <c r="J32">
        <f t="shared" si="3"/>
        <v>16200</v>
      </c>
      <c r="L32">
        <f t="shared" si="5"/>
        <v>106200</v>
      </c>
    </row>
    <row r="34" spans="1:1">
      <c r="A34" t="s">
        <v>3</v>
      </c>
    </row>
    <row r="35" spans="1:1">
      <c r="A35">
        <f>SUM(L27:L32)</f>
        <v>477180</v>
      </c>
    </row>
    <row r="36" spans="1:1">
      <c r="A36">
        <f t="shared" ref="A36:A40" si="6">SUM(L28:L33)</f>
        <v>370980</v>
      </c>
    </row>
    <row r="37" spans="1:1">
      <c r="A37">
        <f t="shared" si="6"/>
        <v>286980</v>
      </c>
    </row>
    <row r="38" spans="1:1">
      <c r="A38">
        <f t="shared" si="6"/>
        <v>226500</v>
      </c>
    </row>
    <row r="39" spans="1:1">
      <c r="A39">
        <f t="shared" si="6"/>
        <v>173400</v>
      </c>
    </row>
    <row r="40" spans="1:1">
      <c r="A40">
        <f t="shared" si="6"/>
        <v>106200</v>
      </c>
    </row>
    <row r="42" spans="1:1">
      <c r="A42" t="s">
        <v>4</v>
      </c>
    </row>
    <row r="43" spans="1:1">
      <c r="A43">
        <f>COUNT(E27:E32)</f>
        <v>6</v>
      </c>
    </row>
    <row r="45" spans="1:1">
      <c r="A45" t="s">
        <v>5</v>
      </c>
    </row>
    <row r="54" spans="1:12">
      <c r="A54" t="s">
        <v>6</v>
      </c>
    </row>
    <row r="56" spans="1:12">
      <c r="A56" t="s">
        <v>68</v>
      </c>
      <c r="B56" t="s">
        <v>36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60</v>
      </c>
      <c r="I56" t="s">
        <v>64</v>
      </c>
      <c r="J56" t="s">
        <v>65</v>
      </c>
      <c r="L56" t="s">
        <v>69</v>
      </c>
    </row>
    <row r="57" spans="1:12">
      <c r="A57">
        <v>301</v>
      </c>
      <c r="B57" t="s">
        <v>42</v>
      </c>
      <c r="C57" t="s">
        <v>43</v>
      </c>
      <c r="D57" t="s">
        <v>44</v>
      </c>
      <c r="E57">
        <v>2</v>
      </c>
      <c r="F57">
        <v>45000</v>
      </c>
      <c r="G57" t="s">
        <v>45</v>
      </c>
      <c r="H57">
        <v>18</v>
      </c>
      <c r="I57">
        <f>F57*E57</f>
        <v>90000</v>
      </c>
      <c r="J57">
        <f t="shared" ref="J57:J62" si="7">I57*VLOOKUP(D57,$E$12:$E$14:$F$12:$F$14,2,FALSE)</f>
        <v>16200</v>
      </c>
      <c r="L57" t="str" cm="1">
        <f t="array" ref="L57:L62">IF(E57:E62&gt;3,"high","low")</f>
        <v>low</v>
      </c>
    </row>
    <row r="58" spans="1:12">
      <c r="A58">
        <v>302</v>
      </c>
      <c r="B58" t="s">
        <v>46</v>
      </c>
      <c r="C58" t="s">
        <v>47</v>
      </c>
      <c r="D58" t="s">
        <v>48</v>
      </c>
      <c r="E58">
        <v>5</v>
      </c>
      <c r="F58">
        <v>15000</v>
      </c>
      <c r="G58" t="s">
        <v>49</v>
      </c>
      <c r="H58">
        <v>12</v>
      </c>
      <c r="I58">
        <f t="shared" ref="I58:I62" si="8">F58*E58</f>
        <v>75000</v>
      </c>
      <c r="J58">
        <f t="shared" si="7"/>
        <v>9000</v>
      </c>
      <c r="L58" t="str">
        <v>high</v>
      </c>
    </row>
    <row r="59" spans="1:12">
      <c r="A59">
        <v>303</v>
      </c>
      <c r="B59" t="s">
        <v>50</v>
      </c>
      <c r="C59" t="s">
        <v>51</v>
      </c>
      <c r="D59" t="s">
        <v>52</v>
      </c>
      <c r="E59">
        <v>3</v>
      </c>
      <c r="F59">
        <v>18000</v>
      </c>
      <c r="G59" t="s">
        <v>53</v>
      </c>
      <c r="H59">
        <v>12</v>
      </c>
      <c r="I59">
        <f t="shared" si="8"/>
        <v>54000</v>
      </c>
      <c r="J59">
        <f t="shared" si="7"/>
        <v>6480</v>
      </c>
      <c r="L59" t="str">
        <v>low</v>
      </c>
    </row>
    <row r="60" spans="1:12">
      <c r="A60">
        <v>304</v>
      </c>
      <c r="B60" t="s">
        <v>54</v>
      </c>
      <c r="C60" t="s">
        <v>55</v>
      </c>
      <c r="D60" t="s">
        <v>44</v>
      </c>
      <c r="E60">
        <v>1</v>
      </c>
      <c r="F60">
        <v>45000</v>
      </c>
      <c r="G60" t="s">
        <v>56</v>
      </c>
      <c r="H60">
        <v>18</v>
      </c>
      <c r="I60">
        <f t="shared" si="8"/>
        <v>45000</v>
      </c>
      <c r="J60">
        <f t="shared" si="7"/>
        <v>8100</v>
      </c>
      <c r="L60" t="str">
        <v>low</v>
      </c>
    </row>
    <row r="61" spans="1:12">
      <c r="A61">
        <v>305</v>
      </c>
      <c r="B61" t="s">
        <v>42</v>
      </c>
      <c r="C61" t="s">
        <v>43</v>
      </c>
      <c r="D61" t="s">
        <v>48</v>
      </c>
      <c r="E61">
        <v>4</v>
      </c>
      <c r="F61">
        <v>15000</v>
      </c>
      <c r="G61" t="s">
        <v>57</v>
      </c>
      <c r="H61">
        <v>12</v>
      </c>
      <c r="I61">
        <f t="shared" si="8"/>
        <v>60000</v>
      </c>
      <c r="J61">
        <f t="shared" si="7"/>
        <v>7200</v>
      </c>
      <c r="L61" t="str">
        <v>high</v>
      </c>
    </row>
    <row r="62" spans="1:12">
      <c r="A62">
        <v>306</v>
      </c>
      <c r="B62" t="s">
        <v>46</v>
      </c>
      <c r="C62" t="s">
        <v>47</v>
      </c>
      <c r="D62" t="s">
        <v>44</v>
      </c>
      <c r="E62">
        <v>2</v>
      </c>
      <c r="F62">
        <v>45000</v>
      </c>
      <c r="G62" t="s">
        <v>58</v>
      </c>
      <c r="H62">
        <v>12</v>
      </c>
      <c r="I62">
        <f t="shared" si="8"/>
        <v>90000</v>
      </c>
      <c r="J62">
        <f t="shared" si="7"/>
        <v>16200</v>
      </c>
      <c r="L62" t="str">
        <v>low</v>
      </c>
    </row>
    <row r="64" spans="1:12">
      <c r="A64" t="s">
        <v>7</v>
      </c>
    </row>
    <row r="66" spans="1:18">
      <c r="A66" t="s">
        <v>35</v>
      </c>
      <c r="B66" t="s">
        <v>36</v>
      </c>
      <c r="C66" t="s">
        <v>37</v>
      </c>
      <c r="D66" t="s">
        <v>38</v>
      </c>
      <c r="E66" t="s">
        <v>70</v>
      </c>
      <c r="F66" t="s">
        <v>40</v>
      </c>
      <c r="G66" t="s">
        <v>41</v>
      </c>
      <c r="H66" t="s">
        <v>60</v>
      </c>
      <c r="I66" t="s">
        <v>64</v>
      </c>
      <c r="J66" t="s">
        <v>65</v>
      </c>
      <c r="L66" t="s">
        <v>67</v>
      </c>
      <c r="N66" t="s">
        <v>71</v>
      </c>
      <c r="O66" t="s">
        <v>72</v>
      </c>
    </row>
    <row r="67" spans="1:18">
      <c r="A67">
        <v>301</v>
      </c>
      <c r="B67" t="s">
        <v>42</v>
      </c>
      <c r="C67" t="s">
        <v>43</v>
      </c>
      <c r="D67" t="s">
        <v>44</v>
      </c>
      <c r="E67">
        <v>2</v>
      </c>
      <c r="F67">
        <v>45000</v>
      </c>
      <c r="G67" t="s">
        <v>45</v>
      </c>
      <c r="H67">
        <v>18</v>
      </c>
      <c r="I67">
        <f>F67*E67</f>
        <v>90000</v>
      </c>
      <c r="J67">
        <f t="shared" ref="J67:J72" si="9">I67*VLOOKUP(D67,$E$12:$E$14:$F$12:$F$14,2,FALSE)</f>
        <v>16200</v>
      </c>
      <c r="L67">
        <f>I67+J67</f>
        <v>106200</v>
      </c>
      <c r="N67">
        <f>MAX(L67:L72)</f>
        <v>106200</v>
      </c>
      <c r="O67">
        <f>MIN(L7:L67)</f>
        <v>53100</v>
      </c>
    </row>
    <row r="68" spans="1:18">
      <c r="A68">
        <v>302</v>
      </c>
      <c r="B68" t="s">
        <v>46</v>
      </c>
      <c r="C68" t="s">
        <v>47</v>
      </c>
      <c r="D68" t="s">
        <v>48</v>
      </c>
      <c r="E68">
        <v>5</v>
      </c>
      <c r="F68">
        <v>15000</v>
      </c>
      <c r="G68" t="s">
        <v>49</v>
      </c>
      <c r="H68">
        <v>12</v>
      </c>
      <c r="I68">
        <f t="shared" ref="I68:I72" si="10">F68*E68</f>
        <v>75000</v>
      </c>
      <c r="J68">
        <f t="shared" si="9"/>
        <v>9000</v>
      </c>
      <c r="L68">
        <f t="shared" ref="L68:L72" si="11">I68+J68</f>
        <v>84000</v>
      </c>
    </row>
    <row r="69" spans="1:18">
      <c r="A69">
        <v>303</v>
      </c>
      <c r="B69" t="s">
        <v>50</v>
      </c>
      <c r="C69" t="s">
        <v>51</v>
      </c>
      <c r="D69" t="s">
        <v>52</v>
      </c>
      <c r="E69">
        <v>3</v>
      </c>
      <c r="F69">
        <v>18000</v>
      </c>
      <c r="G69" t="s">
        <v>53</v>
      </c>
      <c r="H69">
        <v>12</v>
      </c>
      <c r="I69">
        <f t="shared" si="10"/>
        <v>54000</v>
      </c>
      <c r="J69">
        <f t="shared" si="9"/>
        <v>6480</v>
      </c>
      <c r="L69">
        <f t="shared" si="11"/>
        <v>60480</v>
      </c>
    </row>
    <row r="70" spans="1:18">
      <c r="A70">
        <v>304</v>
      </c>
      <c r="B70" t="s">
        <v>54</v>
      </c>
      <c r="C70" t="s">
        <v>55</v>
      </c>
      <c r="D70" t="s">
        <v>44</v>
      </c>
      <c r="E70">
        <v>1</v>
      </c>
      <c r="F70">
        <v>45000</v>
      </c>
      <c r="G70" t="s">
        <v>56</v>
      </c>
      <c r="H70">
        <v>18</v>
      </c>
      <c r="I70">
        <f t="shared" si="10"/>
        <v>45000</v>
      </c>
      <c r="J70">
        <f t="shared" si="9"/>
        <v>8100</v>
      </c>
      <c r="L70">
        <f t="shared" si="11"/>
        <v>53100</v>
      </c>
      <c r="P70" t="s">
        <v>38</v>
      </c>
      <c r="Q70" t="s">
        <v>59</v>
      </c>
      <c r="R70" t="s">
        <v>60</v>
      </c>
    </row>
    <row r="71" spans="1:18">
      <c r="A71">
        <v>305</v>
      </c>
      <c r="B71" t="s">
        <v>42</v>
      </c>
      <c r="C71" t="s">
        <v>43</v>
      </c>
      <c r="D71" t="s">
        <v>48</v>
      </c>
      <c r="E71">
        <v>4</v>
      </c>
      <c r="F71">
        <v>15000</v>
      </c>
      <c r="G71" t="s">
        <v>57</v>
      </c>
      <c r="H71">
        <v>12</v>
      </c>
      <c r="I71">
        <f t="shared" si="10"/>
        <v>60000</v>
      </c>
      <c r="J71">
        <f t="shared" si="9"/>
        <v>7200</v>
      </c>
      <c r="L71">
        <f t="shared" si="11"/>
        <v>67200</v>
      </c>
      <c r="P71" t="s">
        <v>44</v>
      </c>
      <c r="Q71" t="s">
        <v>61</v>
      </c>
      <c r="R71">
        <v>18</v>
      </c>
    </row>
    <row r="72" spans="1:18">
      <c r="A72">
        <v>306</v>
      </c>
      <c r="B72" t="s">
        <v>46</v>
      </c>
      <c r="C72" t="s">
        <v>47</v>
      </c>
      <c r="D72" t="s">
        <v>44</v>
      </c>
      <c r="E72">
        <v>2</v>
      </c>
      <c r="F72">
        <v>45000</v>
      </c>
      <c r="G72" t="s">
        <v>58</v>
      </c>
      <c r="H72">
        <v>12</v>
      </c>
      <c r="I72">
        <f t="shared" si="10"/>
        <v>90000</v>
      </c>
      <c r="J72">
        <f t="shared" si="9"/>
        <v>16200</v>
      </c>
      <c r="L72">
        <f t="shared" si="11"/>
        <v>106200</v>
      </c>
      <c r="P72" t="s">
        <v>48</v>
      </c>
      <c r="Q72" t="s">
        <v>61</v>
      </c>
      <c r="R72">
        <v>12</v>
      </c>
    </row>
    <row r="73" spans="1:18">
      <c r="P73" t="s">
        <v>52</v>
      </c>
      <c r="Q73" t="s">
        <v>61</v>
      </c>
      <c r="R73">
        <v>12</v>
      </c>
    </row>
    <row r="78" spans="1:18">
      <c r="A78" t="s">
        <v>8</v>
      </c>
      <c r="F78" t="s">
        <v>9</v>
      </c>
      <c r="K78" t="s">
        <v>10</v>
      </c>
    </row>
    <row r="79" spans="1:18">
      <c r="F79" cm="1">
        <f t="array" ref="F79:F84">_xlfn._xlws.SORT(A35:A40,1,-1)</f>
        <v>477180</v>
      </c>
      <c r="K79" t="str" cm="1">
        <f t="array" ref="K79">INDEX(Q71:Q73,MATCH(P71,D67:D72,0))</f>
        <v>Electronics</v>
      </c>
    </row>
    <row r="80" spans="1:18">
      <c r="A80" cm="1">
        <f t="array" ref="A80:A85">MONTH(G73:G78)</f>
        <v>1</v>
      </c>
      <c r="B80" t="str" cm="1">
        <f t="array" ref="B80:B85">TEXT(_xlfn.ANCHORARRAY(A80),"mmmm")</f>
        <v>January</v>
      </c>
      <c r="F80">
        <v>370980</v>
      </c>
      <c r="K80" t="str" cm="1">
        <f t="array" ref="K80">INDEX(Q72:Q74,MATCH(P72,D68:D73,0))</f>
        <v>Electronics</v>
      </c>
    </row>
    <row r="81" spans="1:15">
      <c r="A81">
        <v>1</v>
      </c>
      <c r="B81" t="str">
        <v>January</v>
      </c>
      <c r="F81">
        <v>286980</v>
      </c>
      <c r="K81" t="str" cm="1">
        <f t="array" ref="K81">INDEX(Q73:Q75,MATCH(P73,D69:D74,0))</f>
        <v>Electronics</v>
      </c>
    </row>
    <row r="82" spans="1:15">
      <c r="A82">
        <v>1</v>
      </c>
      <c r="B82" t="str">
        <v>January</v>
      </c>
      <c r="F82">
        <v>226500</v>
      </c>
    </row>
    <row r="83" spans="1:15">
      <c r="A83">
        <v>1</v>
      </c>
      <c r="B83" t="str">
        <v>January</v>
      </c>
      <c r="F83">
        <v>173400</v>
      </c>
    </row>
    <row r="84" spans="1:15">
      <c r="A84">
        <v>1</v>
      </c>
      <c r="B84" t="str">
        <v>January</v>
      </c>
      <c r="F84">
        <v>106200</v>
      </c>
    </row>
    <row r="85" spans="1:15">
      <c r="A85">
        <v>1</v>
      </c>
      <c r="B85" t="str">
        <v>January</v>
      </c>
    </row>
    <row r="87" spans="1:15">
      <c r="A87" t="s">
        <v>11</v>
      </c>
      <c r="N87" t="s">
        <v>13</v>
      </c>
    </row>
    <row r="88" spans="1:15">
      <c r="A88" t="s">
        <v>73</v>
      </c>
      <c r="B88" t="s">
        <v>74</v>
      </c>
      <c r="C88" t="s">
        <v>75</v>
      </c>
      <c r="D88" t="s">
        <v>76</v>
      </c>
      <c r="E88" t="s">
        <v>77</v>
      </c>
      <c r="F88" t="s">
        <v>78</v>
      </c>
      <c r="G88" t="s">
        <v>62</v>
      </c>
      <c r="H88" t="s">
        <v>79</v>
      </c>
      <c r="I88" t="s">
        <v>80</v>
      </c>
      <c r="N88">
        <f>COUNTIF(F89:F93,"&gt;90")</f>
        <v>3</v>
      </c>
    </row>
    <row r="89" spans="1:15">
      <c r="A89">
        <v>1</v>
      </c>
      <c r="B89" t="s">
        <v>81</v>
      </c>
      <c r="C89">
        <v>78</v>
      </c>
      <c r="D89">
        <v>82</v>
      </c>
      <c r="E89">
        <v>85</v>
      </c>
      <c r="F89">
        <v>92</v>
      </c>
      <c r="G89">
        <f>SUM(C89:E89)</f>
        <v>245</v>
      </c>
      <c r="H89">
        <f>AVERAGE(C89:E89)</f>
        <v>81.6666666666667</v>
      </c>
      <c r="I89" t="str" cm="1">
        <f t="array" ref="I89:I93">IF(F89:F93&gt;=85,"Eligible","Not Eligible")</f>
        <v>Eligible</v>
      </c>
      <c r="N89" t="s">
        <v>12</v>
      </c>
    </row>
    <row r="90" spans="1:15">
      <c r="A90">
        <v>2</v>
      </c>
      <c r="B90" t="s">
        <v>82</v>
      </c>
      <c r="C90">
        <v>88</v>
      </c>
      <c r="D90">
        <v>91</v>
      </c>
      <c r="E90">
        <v>90</v>
      </c>
      <c r="F90">
        <v>96</v>
      </c>
      <c r="G90">
        <f>SUM(C90:E90)</f>
        <v>269</v>
      </c>
      <c r="H90">
        <f>AVERAGE(C90:E90)</f>
        <v>89.6666666666667</v>
      </c>
      <c r="I90" t="str">
        <v>Eligible</v>
      </c>
      <c r="O90" t="str" cm="1">
        <f t="array" ref="O90">INDEX(B89:B93,MATCH(MAX(H89:H93),H89:H93,0))</f>
        <v>Pooja</v>
      </c>
    </row>
    <row r="91" spans="1:15">
      <c r="A91">
        <v>3</v>
      </c>
      <c r="B91" t="s">
        <v>83</v>
      </c>
      <c r="C91">
        <v>65</v>
      </c>
      <c r="D91">
        <v>70</v>
      </c>
      <c r="E91">
        <v>72</v>
      </c>
      <c r="F91">
        <v>85</v>
      </c>
      <c r="G91">
        <f>SUM(C91:E91)</f>
        <v>207</v>
      </c>
      <c r="H91">
        <f>AVERAGE(C91:E91)</f>
        <v>69</v>
      </c>
      <c r="I91" t="str">
        <v>Eligible</v>
      </c>
    </row>
    <row r="92" spans="1:15">
      <c r="A92">
        <v>4</v>
      </c>
      <c r="B92" t="s">
        <v>84</v>
      </c>
      <c r="C92">
        <v>92</v>
      </c>
      <c r="D92">
        <v>89</v>
      </c>
      <c r="E92">
        <v>94</v>
      </c>
      <c r="F92">
        <v>98</v>
      </c>
      <c r="G92">
        <f>SUM(C92:E92)</f>
        <v>275</v>
      </c>
      <c r="H92">
        <f>AVERAGE(C92:E92)</f>
        <v>91.6666666666667</v>
      </c>
      <c r="I92" t="str">
        <v>Eligible</v>
      </c>
    </row>
    <row r="93" spans="1:15">
      <c r="A93">
        <v>5</v>
      </c>
      <c r="B93" t="s">
        <v>85</v>
      </c>
      <c r="C93">
        <v>55</v>
      </c>
      <c r="D93">
        <v>60</v>
      </c>
      <c r="E93">
        <v>58</v>
      </c>
      <c r="F93">
        <v>80</v>
      </c>
      <c r="G93">
        <f>SUM(C93:E93)</f>
        <v>173</v>
      </c>
      <c r="H93">
        <f>AVERAGE(C93:E93)</f>
        <v>57.6666666666667</v>
      </c>
      <c r="I93" t="str">
        <v>Not Eligible</v>
      </c>
    </row>
    <row r="95" spans="1:15">
      <c r="A95" t="s">
        <v>15</v>
      </c>
    </row>
    <row r="97" spans="1:2">
      <c r="A97" s="1" t="s">
        <v>86</v>
      </c>
      <c r="B97" t="s">
        <v>88</v>
      </c>
    </row>
    <row r="98" spans="1:2">
      <c r="A98" s="2" t="s">
        <v>44</v>
      </c>
      <c r="B98" s="3">
        <v>225000</v>
      </c>
    </row>
    <row r="99" spans="1:2">
      <c r="A99" s="2" t="s">
        <v>48</v>
      </c>
      <c r="B99" s="3">
        <v>135000</v>
      </c>
    </row>
    <row r="100" spans="1:2">
      <c r="A100" s="2" t="s">
        <v>52</v>
      </c>
      <c r="B100" s="3">
        <v>54000</v>
      </c>
    </row>
    <row r="101" spans="1:2">
      <c r="A101" s="2" t="s">
        <v>87</v>
      </c>
      <c r="B101" s="3">
        <v>414000</v>
      </c>
    </row>
    <row r="104" spans="1:2">
      <c r="A104" t="s">
        <v>16</v>
      </c>
    </row>
    <row r="105" spans="1:2">
      <c r="A105" s="1" t="s">
        <v>86</v>
      </c>
      <c r="B105" t="s">
        <v>88</v>
      </c>
    </row>
    <row r="106" spans="1:2">
      <c r="A106" s="2" t="s">
        <v>50</v>
      </c>
      <c r="B106" s="3">
        <v>54000</v>
      </c>
    </row>
    <row r="107" spans="1:2">
      <c r="A107" s="2" t="s">
        <v>42</v>
      </c>
      <c r="B107" s="3">
        <v>150000</v>
      </c>
    </row>
    <row r="108" spans="1:2">
      <c r="A108" s="2" t="s">
        <v>46</v>
      </c>
      <c r="B108" s="3">
        <v>165000</v>
      </c>
    </row>
    <row r="109" spans="1:2">
      <c r="A109" s="2" t="s">
        <v>54</v>
      </c>
      <c r="B109" s="3">
        <v>45000</v>
      </c>
    </row>
    <row r="110" spans="1:2">
      <c r="A110" s="2" t="s">
        <v>87</v>
      </c>
      <c r="B110" s="3">
        <v>414000</v>
      </c>
    </row>
    <row r="112" spans="1:2">
      <c r="A112" t="s">
        <v>17</v>
      </c>
    </row>
    <row r="114" spans="1:17">
      <c r="A114" s="1" t="s">
        <v>86</v>
      </c>
      <c r="B114" t="s">
        <v>88</v>
      </c>
    </row>
    <row r="115" spans="1:17">
      <c r="A115" s="2" t="s">
        <v>44</v>
      </c>
      <c r="B115" s="3">
        <v>225000</v>
      </c>
    </row>
    <row r="116" spans="1:17">
      <c r="A116" s="2" t="s">
        <v>48</v>
      </c>
      <c r="B116" s="3">
        <v>135000</v>
      </c>
    </row>
    <row r="117" spans="1:17">
      <c r="A117" s="2" t="s">
        <v>52</v>
      </c>
      <c r="B117" s="3">
        <v>54000</v>
      </c>
    </row>
    <row r="118" spans="1:17">
      <c r="A118" s="2" t="s">
        <v>87</v>
      </c>
      <c r="B118" s="3">
        <v>414000</v>
      </c>
    </row>
    <row r="120" spans="1:17">
      <c r="J120" t="s">
        <v>19</v>
      </c>
    </row>
    <row r="121" spans="1:17">
      <c r="A121" t="s">
        <v>18</v>
      </c>
    </row>
    <row r="122" spans="1:17">
      <c r="Q122" t="s">
        <v>92</v>
      </c>
    </row>
    <row r="123" spans="1:17">
      <c r="Q123">
        <f>MEDIAN(D141:D145)</f>
        <v>82</v>
      </c>
    </row>
    <row r="128" spans="1:17">
      <c r="M128">
        <f>SUM(D141:D145)</f>
        <v>392</v>
      </c>
    </row>
    <row r="138" spans="1:6">
      <c r="A138" t="s">
        <v>20</v>
      </c>
    </row>
    <row r="140" spans="1:6">
      <c r="A140" t="s">
        <v>73</v>
      </c>
      <c r="B140" t="s">
        <v>74</v>
      </c>
      <c r="C140" t="s">
        <v>75</v>
      </c>
      <c r="D140" t="s">
        <v>76</v>
      </c>
      <c r="E140" t="s">
        <v>77</v>
      </c>
      <c r="F140" t="s">
        <v>78</v>
      </c>
    </row>
    <row r="141" spans="1:6">
      <c r="A141">
        <v>1</v>
      </c>
      <c r="B141" t="s">
        <v>81</v>
      </c>
      <c r="C141">
        <v>78</v>
      </c>
      <c r="D141">
        <v>82</v>
      </c>
      <c r="E141">
        <v>85</v>
      </c>
      <c r="F141">
        <v>92</v>
      </c>
    </row>
    <row r="142" spans="1:6">
      <c r="A142">
        <v>2</v>
      </c>
      <c r="B142" t="s">
        <v>82</v>
      </c>
      <c r="C142">
        <v>88</v>
      </c>
      <c r="D142">
        <v>91</v>
      </c>
      <c r="E142">
        <v>90</v>
      </c>
      <c r="F142">
        <v>96</v>
      </c>
    </row>
    <row r="143" spans="1:6">
      <c r="A143">
        <v>3</v>
      </c>
      <c r="B143" t="s">
        <v>83</v>
      </c>
      <c r="C143">
        <v>65</v>
      </c>
      <c r="D143">
        <v>70</v>
      </c>
      <c r="E143">
        <v>72</v>
      </c>
      <c r="F143">
        <v>85</v>
      </c>
    </row>
    <row r="144" spans="1:6">
      <c r="A144">
        <v>4</v>
      </c>
      <c r="B144" t="s">
        <v>84</v>
      </c>
      <c r="C144">
        <v>92</v>
      </c>
      <c r="D144">
        <v>89</v>
      </c>
      <c r="E144">
        <v>94</v>
      </c>
      <c r="F144">
        <v>98</v>
      </c>
    </row>
    <row r="145" spans="1:10">
      <c r="A145">
        <v>5</v>
      </c>
      <c r="B145" t="s">
        <v>85</v>
      </c>
      <c r="C145">
        <v>55</v>
      </c>
      <c r="D145">
        <v>60</v>
      </c>
      <c r="E145">
        <v>58</v>
      </c>
      <c r="F145">
        <v>80</v>
      </c>
    </row>
    <row r="148" spans="1:10">
      <c r="A148" t="s">
        <v>21</v>
      </c>
      <c r="J148" t="s">
        <v>22</v>
      </c>
    </row>
    <row r="150" spans="1:10">
      <c r="A150" t="s">
        <v>73</v>
      </c>
      <c r="B150" t="s">
        <v>74</v>
      </c>
      <c r="C150" t="s">
        <v>75</v>
      </c>
      <c r="D150" t="s">
        <v>76</v>
      </c>
      <c r="E150" t="s">
        <v>77</v>
      </c>
      <c r="F150" t="s">
        <v>78</v>
      </c>
      <c r="G150" t="s">
        <v>93</v>
      </c>
      <c r="J150" t="str">
        <f>LEFT(B151,(2))</f>
        <v>Ra</v>
      </c>
    </row>
    <row r="151" spans="1:10">
      <c r="A151">
        <v>1</v>
      </c>
      <c r="B151" t="s">
        <v>81</v>
      </c>
      <c r="C151">
        <v>78</v>
      </c>
      <c r="D151">
        <v>82</v>
      </c>
      <c r="E151">
        <v>85</v>
      </c>
      <c r="F151">
        <v>92</v>
      </c>
      <c r="G151" t="str">
        <f>_xlfn.CONCAT(A151," ",B151)</f>
        <v>1 Rahul</v>
      </c>
      <c r="J151" t="str">
        <f t="shared" ref="J151:J155" si="12">LEFT(B152,(2))</f>
        <v>Sn</v>
      </c>
    </row>
    <row r="152" spans="1:10">
      <c r="A152">
        <v>2</v>
      </c>
      <c r="B152" t="s">
        <v>82</v>
      </c>
      <c r="C152">
        <v>88</v>
      </c>
      <c r="D152">
        <v>91</v>
      </c>
      <c r="E152">
        <v>90</v>
      </c>
      <c r="F152">
        <v>96</v>
      </c>
      <c r="G152" t="str">
        <f t="shared" ref="G152:G155" si="13">_xlfn.CONCAT(A152," ",B152)</f>
        <v>2 Sneha</v>
      </c>
      <c r="J152" t="str">
        <f t="shared" si="12"/>
        <v>Ar</v>
      </c>
    </row>
    <row r="153" spans="1:10">
      <c r="A153">
        <v>3</v>
      </c>
      <c r="B153" t="s">
        <v>83</v>
      </c>
      <c r="C153">
        <v>65</v>
      </c>
      <c r="D153">
        <v>70</v>
      </c>
      <c r="E153">
        <v>72</v>
      </c>
      <c r="F153">
        <v>85</v>
      </c>
      <c r="G153" t="str">
        <f t="shared" si="13"/>
        <v>3 Arjun</v>
      </c>
      <c r="J153" t="str">
        <f t="shared" si="12"/>
        <v>Po</v>
      </c>
    </row>
    <row r="154" spans="1:10">
      <c r="A154">
        <v>4</v>
      </c>
      <c r="B154" t="s">
        <v>84</v>
      </c>
      <c r="C154">
        <v>92</v>
      </c>
      <c r="D154">
        <v>89</v>
      </c>
      <c r="E154">
        <v>94</v>
      </c>
      <c r="F154">
        <v>98</v>
      </c>
      <c r="G154" t="str">
        <f t="shared" si="13"/>
        <v>4 Pooja</v>
      </c>
      <c r="J154" t="str">
        <f t="shared" si="12"/>
        <v>Vi</v>
      </c>
    </row>
    <row r="155" spans="1:10">
      <c r="A155">
        <v>5</v>
      </c>
      <c r="B155" t="s">
        <v>85</v>
      </c>
      <c r="C155">
        <v>55</v>
      </c>
      <c r="D155">
        <v>60</v>
      </c>
      <c r="E155">
        <v>58</v>
      </c>
      <c r="F155">
        <v>80</v>
      </c>
      <c r="G155" t="str">
        <f t="shared" si="13"/>
        <v>5 Vikas</v>
      </c>
      <c r="J155" t="str">
        <f t="shared" si="12"/>
        <v/>
      </c>
    </row>
    <row r="157" spans="1:10">
      <c r="A157" t="s">
        <v>24</v>
      </c>
    </row>
    <row r="159" spans="1:10">
      <c r="A159" t="s">
        <v>35</v>
      </c>
      <c r="B159" t="s">
        <v>36</v>
      </c>
      <c r="C159" t="s">
        <v>37</v>
      </c>
      <c r="D159" t="s">
        <v>38</v>
      </c>
      <c r="E159" t="s">
        <v>70</v>
      </c>
      <c r="F159" t="s">
        <v>40</v>
      </c>
      <c r="G159" t="s">
        <v>41</v>
      </c>
      <c r="H159" t="s">
        <v>60</v>
      </c>
      <c r="I159" t="s">
        <v>64</v>
      </c>
    </row>
    <row r="160" spans="1:10">
      <c r="A160">
        <v>301</v>
      </c>
      <c r="B160" t="s">
        <v>42</v>
      </c>
      <c r="C160" t="s">
        <v>43</v>
      </c>
      <c r="D160" t="s">
        <v>44</v>
      </c>
      <c r="E160">
        <v>2</v>
      </c>
      <c r="F160">
        <v>45000</v>
      </c>
      <c r="G160" t="s">
        <v>45</v>
      </c>
      <c r="H160">
        <v>18</v>
      </c>
      <c r="I160">
        <f>F160*E160</f>
        <v>90000</v>
      </c>
    </row>
    <row r="161" spans="1:9" hidden="1">
      <c r="A161">
        <v>302</v>
      </c>
      <c r="B161" t="s">
        <v>46</v>
      </c>
      <c r="C161" t="s">
        <v>47</v>
      </c>
      <c r="D161" t="s">
        <v>48</v>
      </c>
      <c r="E161">
        <v>5</v>
      </c>
      <c r="F161">
        <v>15000</v>
      </c>
      <c r="G161" t="s">
        <v>49</v>
      </c>
      <c r="H161">
        <v>12</v>
      </c>
      <c r="I161">
        <f t="shared" ref="I161:I165" si="14">F161*E161</f>
        <v>75000</v>
      </c>
    </row>
    <row r="162" spans="1:9" hidden="1">
      <c r="A162">
        <v>303</v>
      </c>
      <c r="B162" t="s">
        <v>50</v>
      </c>
      <c r="C162" t="s">
        <v>51</v>
      </c>
      <c r="D162" t="s">
        <v>52</v>
      </c>
      <c r="E162">
        <v>3</v>
      </c>
      <c r="F162">
        <v>18000</v>
      </c>
      <c r="G162" t="s">
        <v>53</v>
      </c>
      <c r="H162">
        <v>12</v>
      </c>
      <c r="I162">
        <f t="shared" si="14"/>
        <v>54000</v>
      </c>
    </row>
    <row r="163" spans="1:9" hidden="1">
      <c r="A163">
        <v>304</v>
      </c>
      <c r="B163" t="s">
        <v>54</v>
      </c>
      <c r="C163" t="s">
        <v>55</v>
      </c>
      <c r="D163" t="s">
        <v>44</v>
      </c>
      <c r="E163">
        <v>1</v>
      </c>
      <c r="F163">
        <v>45000</v>
      </c>
      <c r="G163" t="s">
        <v>56</v>
      </c>
      <c r="H163">
        <v>18</v>
      </c>
      <c r="I163">
        <f t="shared" si="14"/>
        <v>45000</v>
      </c>
    </row>
    <row r="164" spans="1:9" hidden="1">
      <c r="A164">
        <v>305</v>
      </c>
      <c r="B164" t="s">
        <v>42</v>
      </c>
      <c r="C164" t="s">
        <v>43</v>
      </c>
      <c r="D164" t="s">
        <v>48</v>
      </c>
      <c r="E164">
        <v>4</v>
      </c>
      <c r="F164">
        <v>15000</v>
      </c>
      <c r="G164" t="s">
        <v>57</v>
      </c>
      <c r="H164">
        <v>12</v>
      </c>
      <c r="I164">
        <f t="shared" si="14"/>
        <v>60000</v>
      </c>
    </row>
    <row r="165" spans="1:9">
      <c r="A165">
        <v>306</v>
      </c>
      <c r="B165" t="s">
        <v>46</v>
      </c>
      <c r="C165" t="s">
        <v>47</v>
      </c>
      <c r="D165" t="s">
        <v>44</v>
      </c>
      <c r="E165">
        <v>2</v>
      </c>
      <c r="F165">
        <v>45000</v>
      </c>
      <c r="G165" t="s">
        <v>58</v>
      </c>
      <c r="H165">
        <v>12</v>
      </c>
      <c r="I165">
        <f t="shared" si="14"/>
        <v>90000</v>
      </c>
    </row>
  </sheetData>
  <autoFilter ref="D159:E165" xr:uid="{00000000-0001-0000-0400-000000000000}">
    <filterColumn colId="0">
      <filters>
        <filter val="Laptop"/>
      </filters>
    </filterColumn>
    <filterColumn colId="1">
      <filters>
        <filter val="2"/>
        <filter val="3"/>
        <filter val="4"/>
        <filter val="5"/>
      </filters>
    </filterColumn>
  </autoFilter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selection sqref="A1:G6"/>
    </sheetView>
  </sheetViews>
  <sheetFormatPr defaultColWidth="9" defaultRowHeight="15"/>
  <cols>
    <col min="1" max="1" width="13.140625" bestFit="1" customWidth="1"/>
    <col min="2" max="2" width="13.28515625" bestFit="1" customWidth="1"/>
    <col min="3" max="3" width="15.5703125" bestFit="1" customWidth="1"/>
    <col min="4" max="4" width="12.140625" bestFit="1" customWidth="1"/>
  </cols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1</v>
      </c>
      <c r="B2" t="s">
        <v>81</v>
      </c>
      <c r="C2">
        <v>78</v>
      </c>
      <c r="D2">
        <v>82</v>
      </c>
      <c r="E2">
        <v>85</v>
      </c>
      <c r="F2">
        <v>92</v>
      </c>
    </row>
    <row r="3" spans="1:6">
      <c r="A3">
        <v>2</v>
      </c>
      <c r="B3" t="s">
        <v>82</v>
      </c>
      <c r="C3">
        <v>88</v>
      </c>
      <c r="D3">
        <v>91</v>
      </c>
      <c r="E3">
        <v>90</v>
      </c>
      <c r="F3">
        <v>96</v>
      </c>
    </row>
    <row r="4" spans="1:6">
      <c r="A4">
        <v>3</v>
      </c>
      <c r="B4" t="s">
        <v>83</v>
      </c>
      <c r="C4">
        <v>65</v>
      </c>
      <c r="D4">
        <v>70</v>
      </c>
      <c r="E4">
        <v>72</v>
      </c>
      <c r="F4">
        <v>85</v>
      </c>
    </row>
    <row r="5" spans="1:6">
      <c r="A5">
        <v>4</v>
      </c>
      <c r="B5" t="s">
        <v>84</v>
      </c>
      <c r="C5">
        <v>92</v>
      </c>
      <c r="D5">
        <v>89</v>
      </c>
      <c r="E5">
        <v>94</v>
      </c>
      <c r="F5">
        <v>98</v>
      </c>
    </row>
    <row r="6" spans="1:6">
      <c r="A6">
        <v>5</v>
      </c>
      <c r="B6" t="s">
        <v>85</v>
      </c>
      <c r="C6">
        <v>55</v>
      </c>
      <c r="D6">
        <v>60</v>
      </c>
      <c r="E6">
        <v>58</v>
      </c>
      <c r="F6">
        <v>80</v>
      </c>
    </row>
    <row r="8" spans="1:6">
      <c r="A8" t="s">
        <v>18</v>
      </c>
    </row>
    <row r="10" spans="1:6">
      <c r="A10" s="1" t="s">
        <v>86</v>
      </c>
      <c r="B10" t="s">
        <v>89</v>
      </c>
      <c r="C10" t="s">
        <v>90</v>
      </c>
      <c r="D10" t="s">
        <v>91</v>
      </c>
    </row>
    <row r="11" spans="1:6">
      <c r="A11" s="2" t="s">
        <v>83</v>
      </c>
      <c r="B11" s="3">
        <v>65</v>
      </c>
      <c r="C11" s="3">
        <v>70</v>
      </c>
      <c r="D11" s="3">
        <v>72</v>
      </c>
    </row>
    <row r="12" spans="1:6">
      <c r="A12" s="2" t="s">
        <v>84</v>
      </c>
      <c r="B12" s="3">
        <v>92</v>
      </c>
      <c r="C12" s="3">
        <v>89</v>
      </c>
      <c r="D12" s="3">
        <v>94</v>
      </c>
    </row>
    <row r="13" spans="1:6">
      <c r="A13" s="2" t="s">
        <v>81</v>
      </c>
      <c r="B13" s="3">
        <v>78</v>
      </c>
      <c r="C13" s="3">
        <v>82</v>
      </c>
      <c r="D13" s="3">
        <v>85</v>
      </c>
    </row>
    <row r="14" spans="1:6">
      <c r="A14" s="2" t="s">
        <v>82</v>
      </c>
      <c r="B14" s="3">
        <v>88</v>
      </c>
      <c r="C14" s="3">
        <v>91</v>
      </c>
      <c r="D14" s="3">
        <v>90</v>
      </c>
    </row>
    <row r="15" spans="1:6">
      <c r="A15" s="2" t="s">
        <v>85</v>
      </c>
      <c r="B15" s="3">
        <v>55</v>
      </c>
      <c r="C15" s="3">
        <v>60</v>
      </c>
      <c r="D15" s="3">
        <v>58</v>
      </c>
    </row>
    <row r="16" spans="1:6">
      <c r="A16" s="2" t="s">
        <v>87</v>
      </c>
      <c r="B16" s="3">
        <v>378</v>
      </c>
      <c r="C16" s="3">
        <v>392</v>
      </c>
      <c r="D16" s="3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Questions</vt:lpstr>
      <vt:lpstr>Instructions</vt:lpstr>
      <vt:lpstr>Sales_Data</vt:lpstr>
      <vt:lpstr>Product_Master</vt:lpstr>
      <vt:lpstr>Sheet1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Library1</cp:lastModifiedBy>
  <dcterms:created xsi:type="dcterms:W3CDTF">2025-12-20T09:26:00Z</dcterms:created>
  <dcterms:modified xsi:type="dcterms:W3CDTF">2026-07-13T09:46:07Z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77D82B1AE16F4350B892EABFFE811D87_13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