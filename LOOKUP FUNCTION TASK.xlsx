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8" i="1"/>
  <c r="Q19" i="1"/>
  <c r="Q20" i="1"/>
  <c r="Q21" i="1"/>
  <c r="Q22" i="1"/>
  <c r="Q23" i="1"/>
  <c r="Q24" i="1"/>
  <c r="Q25" i="1"/>
  <c r="P5" i="1"/>
  <c r="P6" i="1"/>
  <c r="P4" i="1"/>
  <c r="C18" i="1"/>
  <c r="C17" i="1"/>
  <c r="T15" i="1"/>
  <c r="N16" i="1"/>
  <c r="K17" i="1"/>
  <c r="H16" i="1"/>
  <c r="C19" i="1"/>
  <c r="C16" i="1"/>
</calcChain>
</file>

<file path=xl/sharedStrings.xml><?xml version="1.0" encoding="utf-8"?>
<sst xmlns="http://schemas.openxmlformats.org/spreadsheetml/2006/main" count="84" uniqueCount="49">
  <si>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</si>
  <si>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</si>
  <si>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</si>
  <si>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</si>
  <si>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</si>
  <si>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</si>
  <si>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</si>
  <si>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</si>
  <si>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</si>
  <si>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</si>
  <si>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</si>
  <si>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</si>
  <si>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</si>
  <si>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</si>
  <si>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</si>
  <si>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</si>
  <si>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</si>
  <si>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</si>
  <si>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</si>
  <si>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</si>
  <si>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</si>
  <si>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</si>
  <si>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</si>
  <si>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</si>
  <si>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</si>
  <si>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</si>
  <si>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</si>
  <si>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</si>
  <si>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</si>
  <si>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</si>
  <si>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</si>
  <si>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</si>
  <si>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</si>
  <si>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</si>
  <si>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Task  VLOOKUP</t>
  </si>
  <si>
    <t>DEPARTMENT</t>
  </si>
  <si>
    <t>SALARY</t>
  </si>
  <si>
    <t>NAME</t>
  </si>
  <si>
    <t>Neha singh</t>
  </si>
  <si>
    <t>id</t>
  </si>
  <si>
    <t>location</t>
  </si>
  <si>
    <t>found</t>
  </si>
  <si>
    <t>E109</t>
  </si>
  <si>
    <t>joining year</t>
  </si>
  <si>
    <t>hlookup</t>
  </si>
  <si>
    <t>sales</t>
  </si>
  <si>
    <t>E110</t>
  </si>
  <si>
    <t>XLOOKUP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</si>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</sst>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.5"/>
      <color rgb="FFF0F6FC"/>
      <name val="Segoe UI"/>
      <family val="2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right" vertical="center" wrapText="1" indent="1"/>
    </xf>
    <xf numFmtId="0" fontId="6" fillId="0" borderId="0" xfId="0" applyFont="1"/>
    <xf numFmtId="0" fontId="4" fillId="2" borderId="2" xfId="0" applyFont="1" applyFill="1" applyBorder="1" applyAlignment="1">
      <alignment horizontal="right" vertical="center" wrapText="1" indent="1"/>
    </xf>
    <xf numFmtId="9" fontId="0" fillId="0" borderId="0" xfId="1" applyFo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5"/>
  <sheetViews>
    <sheetView tabSelected="1" workbookViewId="0">
      <selection activeCell="T3" sqref="T3"/>
    </sheetView>
  </sheetViews>
  <sheetFormatPr defaultRowHeight="14.4" x14ac:dyDescent="0.3"/>
  <cols>
    <col min="1" max="1" width="8" customWidth="1"/>
    <col min="2" max="2" width="8.33203125" customWidth="1"/>
    <col min="3" max="3" width="8.6640625" customWidth="1"/>
    <col min="5" max="5" width="7.33203125" customWidth="1"/>
    <col min="6" max="6" width="6.33203125" customWidth="1"/>
    <col min="8" max="8" width="8.77734375" customWidth="1"/>
    <col min="9" max="9" width="7.6640625" customWidth="1"/>
  </cols>
  <sheetData>
    <row r="2" spans="1:20" ht="29.4" thickBot="1" x14ac:dyDescent="0.6">
      <c r="A2" s="1"/>
      <c r="P2" s="9" t="s">
        <v>44</v>
      </c>
    </row>
    <row r="3" spans="1:20" ht="43.8" thickBo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H3" s="1"/>
    </row>
    <row r="4" spans="1:20" ht="43.8" thickBot="1" x14ac:dyDescent="0.35">
      <c r="A4" s="4" t="s">
        <v>6</v>
      </c>
      <c r="B4" s="5" t="s">
        <v>7</v>
      </c>
      <c r="C4" s="5" t="s">
        <v>8</v>
      </c>
      <c r="D4" s="5" t="s">
        <v>9</v>
      </c>
      <c r="E4" s="4">
        <v>45000</v>
      </c>
      <c r="F4" s="4">
        <v>2019</v>
      </c>
      <c r="H4" s="3" t="s">
        <v>2</v>
      </c>
      <c r="I4" s="2" t="s">
        <v>8</v>
      </c>
      <c r="J4" s="2" t="s">
        <v>12</v>
      </c>
      <c r="K4" s="2" t="s">
        <v>16</v>
      </c>
      <c r="L4" s="2" t="s">
        <v>20</v>
      </c>
      <c r="M4" s="2" t="s">
        <v>24</v>
      </c>
      <c r="O4" s="10" t="s">
        <v>12</v>
      </c>
      <c r="P4" s="11">
        <f>HLOOKUP(O4,H4:M5,2,FALSE)</f>
        <v>0.08</v>
      </c>
    </row>
    <row r="5" spans="1:20" ht="29.4" thickBot="1" x14ac:dyDescent="0.35">
      <c r="A5" s="6" t="s">
        <v>10</v>
      </c>
      <c r="B5" s="7" t="s">
        <v>11</v>
      </c>
      <c r="C5" s="7" t="s">
        <v>12</v>
      </c>
      <c r="D5" s="7" t="s">
        <v>13</v>
      </c>
      <c r="E5" s="6">
        <v>52000</v>
      </c>
      <c r="F5" s="6">
        <v>2018</v>
      </c>
      <c r="H5" s="5" t="s">
        <v>33</v>
      </c>
      <c r="I5" s="8">
        <v>0.1</v>
      </c>
      <c r="J5" s="8">
        <v>0.08</v>
      </c>
      <c r="K5" s="8">
        <v>0.12</v>
      </c>
      <c r="L5" s="8">
        <v>0.15</v>
      </c>
      <c r="M5" s="8">
        <v>0.09</v>
      </c>
      <c r="O5" t="s">
        <v>6</v>
      </c>
      <c r="P5">
        <f>VLOOKUP(O5,A3:F11,5,0)*HLOOKUP(I4,H4:M5,2,0)</f>
        <v>4500</v>
      </c>
    </row>
    <row r="6" spans="1:20" ht="29.4" thickBot="1" x14ac:dyDescent="0.35">
      <c r="A6" s="4" t="s">
        <v>14</v>
      </c>
      <c r="B6" s="5" t="s">
        <v>15</v>
      </c>
      <c r="C6" s="5" t="s">
        <v>16</v>
      </c>
      <c r="D6" s="5" t="s">
        <v>17</v>
      </c>
      <c r="E6" s="4">
        <v>65000</v>
      </c>
      <c r="F6" s="4">
        <v>2020</v>
      </c>
      <c r="O6" t="s">
        <v>45</v>
      </c>
      <c r="P6" s="11">
        <f>IFERROR(HLOOKUP(O6,H4:M5,2,FALSE),"No Bonus Data")</f>
        <v>0.1</v>
      </c>
    </row>
    <row r="7" spans="1:20" ht="29.4" thickBot="1" x14ac:dyDescent="0.35">
      <c r="A7" s="6" t="s">
        <v>18</v>
      </c>
      <c r="B7" s="7" t="s">
        <v>19</v>
      </c>
      <c r="C7" s="7" t="s">
        <v>20</v>
      </c>
      <c r="D7" s="7" t="s">
        <v>21</v>
      </c>
      <c r="E7" s="6">
        <v>58000</v>
      </c>
      <c r="F7" s="6">
        <v>2017</v>
      </c>
      <c r="H7" s="3" t="s">
        <v>0</v>
      </c>
      <c r="I7" s="3" t="s">
        <v>1</v>
      </c>
    </row>
    <row r="8" spans="1:20" ht="29.4" thickBot="1" x14ac:dyDescent="0.35">
      <c r="A8" s="4" t="s">
        <v>22</v>
      </c>
      <c r="B8" s="5" t="s">
        <v>23</v>
      </c>
      <c r="C8" s="5" t="s">
        <v>24</v>
      </c>
      <c r="D8" s="5" t="s">
        <v>9</v>
      </c>
      <c r="E8" s="4">
        <v>48000</v>
      </c>
      <c r="F8" s="4">
        <v>2021</v>
      </c>
      <c r="H8" s="5" t="s">
        <v>18</v>
      </c>
      <c r="I8" s="5" t="s">
        <v>15</v>
      </c>
    </row>
    <row r="9" spans="1:20" ht="29.4" thickBot="1" x14ac:dyDescent="0.35">
      <c r="A9" s="6" t="s">
        <v>25</v>
      </c>
      <c r="B9" s="7" t="s">
        <v>26</v>
      </c>
      <c r="C9" s="7" t="s">
        <v>16</v>
      </c>
      <c r="D9" s="7" t="s">
        <v>27</v>
      </c>
      <c r="E9" s="6">
        <v>62000</v>
      </c>
      <c r="F9" s="6">
        <v>2019</v>
      </c>
      <c r="H9" s="5"/>
      <c r="I9" s="5"/>
    </row>
    <row r="10" spans="1:20" ht="29.4" thickBot="1" x14ac:dyDescent="0.35">
      <c r="A10" s="4" t="s">
        <v>28</v>
      </c>
      <c r="B10" s="5" t="s">
        <v>29</v>
      </c>
      <c r="C10" s="5" t="s">
        <v>8</v>
      </c>
      <c r="D10" s="5" t="s">
        <v>30</v>
      </c>
      <c r="E10" s="4">
        <v>47000</v>
      </c>
      <c r="F10" s="4">
        <v>2020</v>
      </c>
    </row>
    <row r="11" spans="1:20" ht="29.4" thickBot="1" x14ac:dyDescent="0.35">
      <c r="A11" s="6" t="s">
        <v>31</v>
      </c>
      <c r="B11" s="7" t="s">
        <v>32</v>
      </c>
      <c r="C11" s="7" t="s">
        <v>12</v>
      </c>
      <c r="D11" s="7" t="s">
        <v>17</v>
      </c>
      <c r="E11" s="6">
        <v>54000</v>
      </c>
      <c r="F11" s="6">
        <v>2016</v>
      </c>
    </row>
    <row r="14" spans="1:20" x14ac:dyDescent="0.3">
      <c r="B14" t="s">
        <v>34</v>
      </c>
      <c r="G14" t="s">
        <v>35</v>
      </c>
      <c r="J14" t="s">
        <v>36</v>
      </c>
      <c r="M14" t="s">
        <v>39</v>
      </c>
      <c r="N14" t="s">
        <v>40</v>
      </c>
      <c r="P14" t="s">
        <v>39</v>
      </c>
      <c r="Q14" t="s">
        <v>41</v>
      </c>
      <c r="S14" t="s">
        <v>39</v>
      </c>
      <c r="T14" t="s">
        <v>43</v>
      </c>
    </row>
    <row r="15" spans="1:20" x14ac:dyDescent="0.3">
      <c r="J15" t="s">
        <v>37</v>
      </c>
      <c r="K15" t="s">
        <v>36</v>
      </c>
      <c r="S15" t="s">
        <v>6</v>
      </c>
      <c r="T15">
        <f>VLOOKUP(S15,A3:F11,6,FALSE)</f>
        <v>2019</v>
      </c>
    </row>
    <row r="16" spans="1:20" x14ac:dyDescent="0.3">
      <c r="A16">
        <v>1</v>
      </c>
      <c r="B16" t="s">
        <v>10</v>
      </c>
      <c r="C16" t="str">
        <f>VLOOKUP(B16,A3:F11,2,FALSE)</f>
        <v>Ananya Gupta</v>
      </c>
      <c r="F16">
        <v>2</v>
      </c>
      <c r="G16" t="s">
        <v>14</v>
      </c>
      <c r="H16" t="str">
        <f>VLOOKUP(G16,A3:F11,3,FALSE)</f>
        <v>IT</v>
      </c>
      <c r="M16" t="s">
        <v>28</v>
      </c>
      <c r="N16" t="str">
        <f>VLOOKUP(M16,A3:F11,4,FALSE)</f>
        <v>Hyderabad</v>
      </c>
    </row>
    <row r="17" spans="2:17" x14ac:dyDescent="0.3">
      <c r="B17" t="s">
        <v>14</v>
      </c>
      <c r="C17" t="str">
        <f>VLOOKUP(B17,A3:F11,2,FALSE)</f>
        <v>Rohit Verma</v>
      </c>
      <c r="I17">
        <v>3</v>
      </c>
      <c r="J17" t="s">
        <v>38</v>
      </c>
      <c r="K17">
        <f>VLOOKUP(J17,B3:F11,4,FALSE)</f>
        <v>58000</v>
      </c>
      <c r="P17" t="s">
        <v>10</v>
      </c>
      <c r="Q17" t="str">
        <f>IFERROR(VLOOKUP(P17,A3:F11,2,FALSE),"Not Found")</f>
        <v>Ananya Gupta</v>
      </c>
    </row>
    <row r="18" spans="2:17" x14ac:dyDescent="0.3">
      <c r="B18" t="s">
        <v>31</v>
      </c>
      <c r="C18" t="str">
        <f>VLOOKUP(B18,A3:F11,2,FALSE)</f>
        <v>Kavita Iyer</v>
      </c>
      <c r="P18" t="s">
        <v>14</v>
      </c>
      <c r="Q18" t="str">
        <f t="shared" ref="Q18:Q25" si="0">IFERROR(VLOOKUP(P18,A4:F12,2,FALSE),"Not Found")</f>
        <v>Rohit Verma</v>
      </c>
    </row>
    <row r="19" spans="2:17" x14ac:dyDescent="0.3">
      <c r="B19" t="s">
        <v>22</v>
      </c>
      <c r="C19" t="str">
        <f t="shared" ref="C17:C19" si="1">VLOOKUP(B19,A6:F14,2,FALSE)</f>
        <v>Aman Kumar</v>
      </c>
      <c r="P19" t="s">
        <v>18</v>
      </c>
      <c r="Q19" t="str">
        <f t="shared" si="0"/>
        <v>Neha Singh</v>
      </c>
    </row>
    <row r="20" spans="2:17" ht="21" x14ac:dyDescent="0.4">
      <c r="H20" s="12" t="s">
        <v>47</v>
      </c>
      <c r="P20" t="s">
        <v>22</v>
      </c>
      <c r="Q20" t="str">
        <f t="shared" si="0"/>
        <v>Aman Kumar</v>
      </c>
    </row>
    <row r="21" spans="2:17" x14ac:dyDescent="0.3">
      <c r="P21" t="s">
        <v>25</v>
      </c>
      <c r="Q21" t="str">
        <f t="shared" si="0"/>
        <v>Pooja Mehta</v>
      </c>
    </row>
    <row r="22" spans="2:17" x14ac:dyDescent="0.3">
      <c r="G22" t="s">
        <v>48</v>
      </c>
      <c r="H22" t="s">
        <v>36</v>
      </c>
      <c r="P22" t="s">
        <v>28</v>
      </c>
      <c r="Q22" t="str">
        <f t="shared" si="0"/>
        <v>Suresh Rao</v>
      </c>
    </row>
    <row r="23" spans="2:17" x14ac:dyDescent="0.3">
      <c r="P23" t="s">
        <v>31</v>
      </c>
      <c r="Q23" t="str">
        <f t="shared" si="0"/>
        <v>Kavita Iyer</v>
      </c>
    </row>
    <row r="24" spans="2:17" x14ac:dyDescent="0.3">
      <c r="P24" t="s">
        <v>42</v>
      </c>
      <c r="Q24" t="str">
        <f t="shared" si="0"/>
        <v>Not Found</v>
      </c>
    </row>
    <row r="25" spans="2:17" x14ac:dyDescent="0.3">
      <c r="P25" t="s">
        <v>46</v>
      </c>
      <c r="Q25" t="str">
        <f t="shared" si="0"/>
        <v>Not Found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2026-07-14T12:42:40Z</dcterms:created>
  <dcterms:modified xsi:type="dcterms:W3CDTF">2026-07-14T14:20:23Z</dcterms:modified>
</cp:coreProperties>
</file>